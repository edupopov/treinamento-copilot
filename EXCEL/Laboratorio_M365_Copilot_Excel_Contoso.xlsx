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0ded0ba37049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nanceiro" sheetId="1" r:id="Rae3288f9231a4658"/>
    <x:sheet xmlns:r="http://schemas.openxmlformats.org/officeDocument/2006/relationships" name="Orçamento" sheetId="2" r:id="R82234946d2124897"/>
    <x:sheet xmlns:r="http://schemas.openxmlformats.org/officeDocument/2006/relationships" name="Ativos" sheetId="3" r:id="R7ef301d968bd49be"/>
    <x:sheet xmlns:r="http://schemas.openxmlformats.org/officeDocument/2006/relationships" name="Fornecedores" sheetId="4" r:id="R292a913238dd46c5"/>
    <x:sheet xmlns:r="http://schemas.openxmlformats.org/officeDocument/2006/relationships" name="Dashboard" sheetId="5" r:id="R62c5eb445c9743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&quot;R$ &quot;#,##0.00;[Red](&quot;R$ &quot;#,##0.00);&quot;-&quot;"/>
    <x:numFmt numFmtId="201" formatCode="dd/mm/yyyy"/>
    <x:numFmt numFmtId="202" formatCode="0.0%;[Red](0.0%);&quot;-&quot;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7"/>
      <x:color rgb="FFFFFFFF"/>
      <x:name val="Carlito"/>
    </x:font>
    <x:font>
      <x:b/>
      <x:sz val="11"/>
      <x:color rgb="FF10243D"/>
      <x:name val="Carlito"/>
    </x:font>
    <x:font>
      <x:b/>
      <x:sz val="11"/>
      <x:color rgb="FF087F8C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0243D"/>
      </x:patternFill>
    </x:fill>
    <x:fill>
      <x:patternFill patternType="solid">
        <x:fgColor rgb="FFE8F3F5"/>
      </x:patternFill>
    </x:fill>
    <x:fill>
      <x:patternFill patternType="solid">
        <x:fgColor rgb="FF087F8C"/>
      </x:patternFill>
    </x:fill>
    <x:fill>
      <x:patternFill patternType="solid">
        <x:fgColor rgb="FFEEF3F8"/>
      </x:patternFill>
    </x:fill>
    <x:fill>
      <x:patternFill patternType="solid">
        <x:fgColor rgb="FFD9E8F4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</x:cellXfs>
  <x:cellStyles count="1">
    <x:cellStyle name="Normal" xfId="0"/>
  </x:cellStyles>
  <x:dxfs count="1">
    <x:dxf>
      <x:font>
        <x:color rgb="FFB42318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075616c4fb41c8" /><Relationship Type="http://schemas.openxmlformats.org/officeDocument/2006/relationships/theme" Target="/xl/theme/theme1.xml" Id="R34ab5b5f1c5448bc" /><Relationship Type="http://schemas.openxmlformats.org/officeDocument/2006/relationships/sharedStrings" Target="/xl/sharedStrings.xml" Id="Rad8e409ba2ef4021" /><Relationship Type="http://schemas.openxmlformats.org/officeDocument/2006/relationships/worksheet" Target="/xl/worksheets/sheet1.xml" Id="Rae3288f9231a4658" /><Relationship Type="http://schemas.openxmlformats.org/officeDocument/2006/relationships/worksheet" Target="/xl/worksheets/sheet2.xml" Id="R82234946d2124897" /><Relationship Type="http://schemas.openxmlformats.org/officeDocument/2006/relationships/worksheet" Target="/xl/worksheets/sheet3.xml" Id="R7ef301d968bd49be" /><Relationship Type="http://schemas.openxmlformats.org/officeDocument/2006/relationships/worksheet" Target="/xl/worksheets/sheet4.xml" Id="R292a913238dd46c5" /><Relationship Type="http://schemas.openxmlformats.org/officeDocument/2006/relationships/worksheet" Target="/xl/worksheets/sheet5.xml" Id="R62c5eb445c974343" /></Relationships>
</file>

<file path=xl/tables/table1.xml><?xml version="1.0" encoding="utf-8"?>
<x:table xmlns:x="http://schemas.openxmlformats.org/spreadsheetml/2006/main" id="1" name="TblFinanceiro" displayName="TblFinanceiro" ref="A1:K217" headerRowCount="1" totalsRowCount="0" totalsRowShown="0">
  <x:tableColumns count="11">
    <x:tableColumn id="1" name="ID"/>
    <x:tableColumn id="2" name="Data"/>
    <x:tableColumn id="3" name="Mês"/>
    <x:tableColumn id="4" name="Tipo"/>
    <x:tableColumn id="5" name="Departamento"/>
    <x:tableColumn id="6" name="Categoria"/>
    <x:tableColumn id="7" name="Contraparte"/>
    <x:tableColumn id="8" name="Documento"/>
    <x:tableColumn id="9" name="Valor (R$)"/>
    <x:tableColumn id="10" name="Status"/>
    <x:tableColumn id="11" name="Descriçã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blOrcamento" displayName="TblOrcamento" ref="A1:I97" headerRowCount="1" totalsRowCount="0" totalsRowShown="0">
  <x:tableColumns count="9">
    <x:tableColumn id="1" name="ID"/>
    <x:tableColumn id="2" name="Competência"/>
    <x:tableColumn id="3" name="Mês"/>
    <x:tableColumn id="4" name="Departamento"/>
    <x:tableColumn id="5" name="Orçado (R$)"/>
    <x:tableColumn id="6" name="Realizado (R$)"/>
    <x:tableColumn id="7" name="Desvio (R$)"/>
    <x:tableColumn id="8" name="Desvio (%)"/>
    <x:tableColumn id="9" name="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blAtivos" displayName="TblAtivos" ref="A1:K101" headerRowCount="1" totalsRowCount="0" totalsRowShown="0">
  <x:tableColumns count="11">
    <x:tableColumn id="1" name="Patrimônio"/>
    <x:tableColumn id="2" name="Tipo"/>
    <x:tableColumn id="3" name="Fabricante"/>
    <x:tableColumn id="4" name="Modelo"/>
    <x:tableColumn id="5" name="Departamento"/>
    <x:tableColumn id="6" name="Unidade"/>
    <x:tableColumn id="7" name="Aquisição"/>
    <x:tableColumn id="8" name="Fim garantia"/>
    <x:tableColumn id="9" name="Valor (R$)"/>
    <x:tableColumn id="10" name="Vida útil (anos)"/>
    <x:tableColumn id="11" name="Situação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blFornecedores" displayName="TblFornecedores" ref="A1:K49" headerRowCount="1" totalsRowCount="0" totalsRowShown="0">
  <x:tableColumns count="11">
    <x:tableColumn id="1" name="Contrato"/>
    <x:tableColumn id="2" name="Fornecedor"/>
    <x:tableColumn id="3" name="Serviço"/>
    <x:tableColumn id="4" name="Departamento"/>
    <x:tableColumn id="5" name="Início"/>
    <x:tableColumn id="6" name="Vencimento"/>
    <x:tableColumn id="7" name="Pagamento"/>
    <x:tableColumn id="8" name="Valor pago (R$)"/>
    <x:tableColumn id="9" name="Nota fiscal"/>
    <x:tableColumn id="10" name="Situação"/>
    <x:tableColumn id="11" name="Periodicidad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de9e91648fe44d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74e2089bd94469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643c7e57768406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e53341218c074ba8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9" hidden="0" customWidth="1"/>
    <x:col min="4" max="4" width="14" hidden="0" customWidth="1"/>
    <x:col min="5" max="5" width="19" hidden="0" customWidth="1"/>
    <x:col min="6" max="6" width="23" hidden="0" customWidth="1"/>
    <x:col min="7" max="7" width="25" hidden="0" customWidth="1"/>
    <x:col min="8" max="8" width="23" hidden="0" customWidth="1"/>
    <x:col min="9" max="9" width="19" hidden="0" customWidth="1"/>
    <x:col min="10" max="10" width="16" hidden="0" customWidth="1"/>
    <x:col min="11" max="11" width="26" hidden="0" customWidth="1"/>
  </x:cols>
  <x:sheetData>
    <x:row r="1" ht="30" customHeight="1">
      <x:c r="A1" s="4" t="str">
        <x:v>ID</x:v>
      </x:c>
      <x:c r="B1" s="4" t="str">
        <x:v>Data</x:v>
      </x:c>
      <x:c r="C1" s="4" t="str">
        <x:v>Mês</x:v>
      </x:c>
      <x:c r="D1" s="4" t="str">
        <x:v>Tipo</x:v>
      </x:c>
      <x:c r="E1" s="4" t="str">
        <x:v>Departamento</x:v>
      </x:c>
      <x:c r="F1" s="4" t="str">
        <x:v>Categoria</x:v>
      </x:c>
      <x:c r="G1" s="4" t="str">
        <x:v>Contraparte</x:v>
      </x:c>
      <x:c r="H1" s="4" t="str">
        <x:v>Documento</x:v>
      </x:c>
      <x:c r="I1" s="4" t="str">
        <x:v>Valor (R$)</x:v>
      </x:c>
      <x:c r="J1" s="4" t="str">
        <x:v>Status</x:v>
      </x:c>
      <x:c r="K1" s="4" t="str">
        <x:v>Descrição</x:v>
      </x:c>
    </x:row>
    <x:row r="2" ht="21" customHeight="1">
      <x:c r="A2" t="str">
        <x:v>FIN-0001</x:v>
      </x:c>
      <x:c r="B2" s="10" t="n">
        <x:v>45660</x:v>
      </x:c>
      <x:c r="C2" t="n">
        <x:v>1</x:v>
      </x:c>
      <x:c r="D2" t="str">
        <x:v>Receita</x:v>
      </x:c>
      <x:c r="E2" t="str">
        <x:v>TI</x:v>
      </x:c>
      <x:c r="F2" t="str">
        <x:v>Venda de serviços</x:v>
      </x:c>
      <x:c r="G2" t="str">
        <x:v>Cliente 1</x:v>
      </x:c>
      <x:c r="H2" t="str">
        <x:v>DOC-25-01-001</x:v>
      </x:c>
      <x:c r="I2" s="8" t="n">
        <x:v>18519.4</x:v>
      </x:c>
      <x:c r="J2" t="str">
        <x:v>Confirmado</x:v>
      </x:c>
      <x:c r="K2" t="str">
        <x:v>Lançamento contábil</x:v>
      </x:c>
    </x:row>
    <x:row r="3" ht="21" customHeight="1">
      <x:c r="A3" t="str">
        <x:v>FIN-0002</x:v>
      </x:c>
      <x:c r="B3" s="10" t="n">
        <x:v>45661</x:v>
      </x:c>
      <x:c r="C3" t="n">
        <x:v>1</x:v>
      </x:c>
      <x:c r="D3" t="str">
        <x:v>Receita</x:v>
      </x:c>
      <x:c r="E3" t="str">
        <x:v>Financeiro</x:v>
      </x:c>
      <x:c r="F3" t="str">
        <x:v>Receita recorrente</x:v>
      </x:c>
      <x:c r="G3" t="str">
        <x:v>Cliente 2</x:v>
      </x:c>
      <x:c r="H3" t="str">
        <x:v>DOC-25-01-002</x:v>
      </x:c>
      <x:c r="I3" s="8" t="n">
        <x:v>23953.07</x:v>
      </x:c>
      <x:c r="J3" t="str">
        <x:v>Confirmado</x:v>
      </x:c>
      <x:c r="K3" t="str">
        <x:v>Lançamento contábil</x:v>
      </x:c>
    </x:row>
    <x:row r="4" ht="21" customHeight="1">
      <x:c r="A4" t="str">
        <x:v>FIN-0003</x:v>
      </x:c>
      <x:c r="B4" s="10" t="n">
        <x:v>45662</x:v>
      </x:c>
      <x:c r="C4" t="n">
        <x:v>1</x:v>
      </x:c>
      <x:c r="D4" t="str">
        <x:v>Receita</x:v>
      </x:c>
      <x:c r="E4" t="str">
        <x:v>RH</x:v>
      </x:c>
      <x:c r="F4" t="str">
        <x:v>Projetos</x:v>
      </x:c>
      <x:c r="G4" t="str">
        <x:v>Cliente 3</x:v>
      </x:c>
      <x:c r="H4" t="str">
        <x:v>DOC-25-01-003</x:v>
      </x:c>
      <x:c r="I4" s="8" t="n">
        <x:v>23615.56</x:v>
      </x:c>
      <x:c r="J4" t="str">
        <x:v>Confirmado</x:v>
      </x:c>
      <x:c r="K4" t="str">
        <x:v>Lançamento contábil</x:v>
      </x:c>
    </x:row>
    <x:row r="5" ht="21" customHeight="1">
      <x:c r="A5" t="str">
        <x:v>FIN-0004</x:v>
      </x:c>
      <x:c r="B5" s="10" t="n">
        <x:v>45663</x:v>
      </x:c>
      <x:c r="C5" t="n">
        <x:v>1</x:v>
      </x:c>
      <x:c r="D5" t="str">
        <x:v>Receita</x:v>
      </x:c>
      <x:c r="E5" t="str">
        <x:v>Marketing</x:v>
      </x:c>
      <x:c r="F5" t="str">
        <x:v>Licenciamento</x:v>
      </x:c>
      <x:c r="G5" t="str">
        <x:v>Cliente 4</x:v>
      </x:c>
      <x:c r="H5" t="str">
        <x:v>DOC-25-01-004</x:v>
      </x:c>
      <x:c r="I5" s="8" t="n">
        <x:v>24244.82</x:v>
      </x:c>
      <x:c r="J5" t="str">
        <x:v>Confirmado</x:v>
      </x:c>
      <x:c r="K5" t="str">
        <x:v>Lançamento contábil</x:v>
      </x:c>
    </x:row>
    <x:row r="6" ht="21" customHeight="1">
      <x:c r="A6" t="str">
        <x:v>FIN-0005</x:v>
      </x:c>
      <x:c r="B6" s="10" t="n">
        <x:v>45664</x:v>
      </x:c>
      <x:c r="C6" t="n">
        <x:v>1</x:v>
      </x:c>
      <x:c r="D6" t="str">
        <x:v>Receita</x:v>
      </x:c>
      <x:c r="E6" t="str">
        <x:v>Operações</x:v>
      </x:c>
      <x:c r="F6" t="str">
        <x:v>Serviços gerenciados</x:v>
      </x:c>
      <x:c r="G6" t="str">
        <x:v>Cliente 5</x:v>
      </x:c>
      <x:c r="H6" t="str">
        <x:v>DOC-25-01-005</x:v>
      </x:c>
      <x:c r="I6" s="8" t="n">
        <x:v>30318.18</x:v>
      </x:c>
      <x:c r="J6" t="str">
        <x:v>Confirmado</x:v>
      </x:c>
      <x:c r="K6" t="str">
        <x:v>Lançamento contábil</x:v>
      </x:c>
    </x:row>
    <x:row r="7" ht="21" customHeight="1">
      <x:c r="A7" t="str">
        <x:v>FIN-0006</x:v>
      </x:c>
      <x:c r="B7" s="10" t="n">
        <x:v>45665</x:v>
      </x:c>
      <x:c r="C7" t="n">
        <x:v>1</x:v>
      </x:c>
      <x:c r="D7" t="str">
        <x:v>Receita</x:v>
      </x:c>
      <x:c r="E7" t="str">
        <x:v>Comercial</x:v>
      </x:c>
      <x:c r="F7" t="str">
        <x:v>Treinamentos</x:v>
      </x:c>
      <x:c r="G7" t="str">
        <x:v>Cliente 6</x:v>
      </x:c>
      <x:c r="H7" t="str">
        <x:v>DOC-25-01-006</x:v>
      </x:c>
      <x:c r="I7" s="8" t="n">
        <x:v>27791.39</x:v>
      </x:c>
      <x:c r="J7" t="str">
        <x:v>Confirmado</x:v>
      </x:c>
      <x:c r="K7" t="str">
        <x:v>Lançamento contábil</x:v>
      </x:c>
    </x:row>
    <x:row r="8" ht="21" customHeight="1">
      <x:c r="A8" t="str">
        <x:v>FIN-0007</x:v>
      </x:c>
      <x:c r="B8" s="10" t="n">
        <x:v>45666</x:v>
      </x:c>
      <x:c r="C8" t="n">
        <x:v>1</x:v>
      </x:c>
      <x:c r="D8" t="str">
        <x:v>Despesa</x:v>
      </x:c>
      <x:c r="E8" t="str">
        <x:v>Logística</x:v>
      </x:c>
      <x:c r="F8" t="str">
        <x:v>Cloud</x:v>
      </x:c>
      <x:c r="G8" t="str">
        <x:v>Orion Datacenter</x:v>
      </x:c>
      <x:c r="H8" t="str">
        <x:v>DOC-25-01-007</x:v>
      </x:c>
      <x:c r="I8" s="8" t="n">
        <x:v>4235.06</x:v>
      </x:c>
      <x:c r="J8" t="str">
        <x:v>Confirmado</x:v>
      </x:c>
      <x:c r="K8" t="str">
        <x:v>Pagamento operacional</x:v>
      </x:c>
    </x:row>
    <x:row r="9" ht="21" customHeight="1">
      <x:c r="A9" t="str">
        <x:v>FIN-0008</x:v>
      </x:c>
      <x:c r="B9" s="10" t="n">
        <x:v>45667</x:v>
      </x:c>
      <x:c r="C9" t="n">
        <x:v>1</x:v>
      </x:c>
      <x:c r="D9" t="str">
        <x:v>Despesa</x:v>
      </x:c>
      <x:c r="E9" t="str">
        <x:v>Jurídico</x:v>
      </x:c>
      <x:c r="F9" t="str">
        <x:v>Hardware</x:v>
      </x:c>
      <x:c r="G9" t="str">
        <x:v>Lumina Energia</x:v>
      </x:c>
      <x:c r="H9" t="str">
        <x:v>DOC-25-01-008</x:v>
      </x:c>
      <x:c r="I9" s="8" t="n">
        <x:v>5630.43</x:v>
      </x:c>
      <x:c r="J9" t="str">
        <x:v>Confirmado</x:v>
      </x:c>
      <x:c r="K9" t="str">
        <x:v>Pagamento operacional</x:v>
      </x:c>
    </x:row>
    <x:row r="10" ht="21" customHeight="1">
      <x:c r="A10" t="str">
        <x:v>FIN-0009</x:v>
      </x:c>
      <x:c r="B10" s="10" t="n">
        <x:v>45668</x:v>
      </x:c>
      <x:c r="C10" t="n">
        <x:v>1</x:v>
      </x:c>
      <x:c r="D10" t="str">
        <x:v>Despesa</x:v>
      </x:c>
      <x:c r="E10" t="str">
        <x:v>TI</x:v>
      </x:c>
      <x:c r="F10" t="str">
        <x:v>Software</x:v>
      </x:c>
      <x:c r="G10" t="str">
        <x:v>Atlas Software</x:v>
      </x:c>
      <x:c r="H10" t="str">
        <x:v>DOC-25-01-009</x:v>
      </x:c>
      <x:c r="I10" s="8" t="n">
        <x:v>6839.01</x:v>
      </x:c>
      <x:c r="J10" t="str">
        <x:v>Confirmado</x:v>
      </x:c>
      <x:c r="K10" t="str">
        <x:v>Pagamento operacional</x:v>
      </x:c>
    </x:row>
    <x:row r="11" ht="21" customHeight="1">
      <x:c r="A11" t="str">
        <x:v>FIN-0010</x:v>
      </x:c>
      <x:c r="B11" s="10" t="n">
        <x:v>45669</x:v>
      </x:c>
      <x:c r="C11" t="n">
        <x:v>1</x:v>
      </x:c>
      <x:c r="D11" t="str">
        <x:v>Despesa</x:v>
      </x:c>
      <x:c r="E11" t="str">
        <x:v>Financeiro</x:v>
      </x:c>
      <x:c r="F11" t="str">
        <x:v>Serviços terceirizados</x:v>
      </x:c>
      <x:c r="G11" t="str">
        <x:v>Ponte Digital</x:v>
      </x:c>
      <x:c r="H11" t="str">
        <x:v>DOC-25-01-010</x:v>
      </x:c>
      <x:c r="I11" s="8" t="n">
        <x:v>7076.05</x:v>
      </x:c>
      <x:c r="J11" t="str">
        <x:v>Confirmado</x:v>
      </x:c>
      <x:c r="K11" t="str">
        <x:v>Pagamento operacional</x:v>
      </x:c>
    </x:row>
    <x:row r="12" ht="21" customHeight="1">
      <x:c r="A12" t="str">
        <x:v>FIN-0011</x:v>
      </x:c>
      <x:c r="B12" s="10" t="n">
        <x:v>45670</x:v>
      </x:c>
      <x:c r="C12" t="n">
        <x:v>1</x:v>
      </x:c>
      <x:c r="D12" t="str">
        <x:v>Despesa</x:v>
      </x:c>
      <x:c r="E12" t="str">
        <x:v>RH</x:v>
      </x:c>
      <x:c r="F12" t="str">
        <x:v>Marketing</x:v>
      </x:c>
      <x:c r="G12" t="str">
        <x:v>Solidez Infra</x:v>
      </x:c>
      <x:c r="H12" t="str">
        <x:v>DOC-25-01-011</x:v>
      </x:c>
      <x:c r="I12" s="8" t="n">
        <x:v>8890.9</x:v>
      </x:c>
      <x:c r="J12" t="str">
        <x:v>Confirmado</x:v>
      </x:c>
      <x:c r="K12" t="str">
        <x:v>Pagamento operacional</x:v>
      </x:c>
    </x:row>
    <x:row r="13" ht="21" customHeight="1">
      <x:c r="A13" t="str">
        <x:v>FIN-0012</x:v>
      </x:c>
      <x:c r="B13" s="10" t="n">
        <x:v>45671</x:v>
      </x:c>
      <x:c r="C13" t="n">
        <x:v>1</x:v>
      </x:c>
      <x:c r="D13" t="str">
        <x:v>Despesa</x:v>
      </x:c>
      <x:c r="E13" t="str">
        <x:v>Marketing</x:v>
      </x:c>
      <x:c r="F13" t="str">
        <x:v>Telefonia</x:v>
      </x:c>
      <x:c r="G13" t="str">
        <x:v>Alfa Tecnologia</x:v>
      </x:c>
      <x:c r="H13" t="str">
        <x:v>DOC-25-01-012</x:v>
      </x:c>
      <x:c r="I13" s="8" t="n">
        <x:v>8782.06</x:v>
      </x:c>
      <x:c r="J13" t="str">
        <x:v>Confirmado</x:v>
      </x:c>
      <x:c r="K13" t="str">
        <x:v>Pagamento operacional</x:v>
      </x:c>
    </x:row>
    <x:row r="14" ht="21" customHeight="1">
      <x:c r="A14" t="str">
        <x:v>FIN-0013</x:v>
      </x:c>
      <x:c r="B14" s="10" t="n">
        <x:v>45672</x:v>
      </x:c>
      <x:c r="C14" t="n">
        <x:v>1</x:v>
      </x:c>
      <x:c r="D14" t="str">
        <x:v>Despesa</x:v>
      </x:c>
      <x:c r="E14" t="str">
        <x:v>Operações</x:v>
      </x:c>
      <x:c r="F14" t="str">
        <x:v>Energia</x:v>
      </x:c>
      <x:c r="G14" t="str">
        <x:v>Delta Cloud</x:v>
      </x:c>
      <x:c r="H14" t="str">
        <x:v>DOC-25-01-013</x:v>
      </x:c>
      <x:c r="I14" s="8" t="n">
        <x:v>10575.03</x:v>
      </x:c>
      <x:c r="J14" t="str">
        <x:v>Confirmado</x:v>
      </x:c>
      <x:c r="K14" t="str">
        <x:v>Pagamento operacional</x:v>
      </x:c>
    </x:row>
    <x:row r="15" ht="21" customHeight="1">
      <x:c r="A15" t="str">
        <x:v>FIN-0014</x:v>
      </x:c>
      <x:c r="B15" s="10" t="n">
        <x:v>45673</x:v>
      </x:c>
      <x:c r="C15" t="n">
        <x:v>1</x:v>
      </x:c>
      <x:c r="D15" t="str">
        <x:v>Despesa</x:v>
      </x:c>
      <x:c r="E15" t="str">
        <x:v>Comercial</x:v>
      </x:c>
      <x:c r="F15" t="str">
        <x:v>Manutenção</x:v>
      </x:c>
      <x:c r="G15" t="str">
        <x:v>Nexa Serviços</x:v>
      </x:c>
      <x:c r="H15" t="str">
        <x:v>DOC-25-01-014</x:v>
      </x:c>
      <x:c r="I15" s="8" t="n">
        <x:v>10743.49</x:v>
      </x:c>
      <x:c r="J15" t="str">
        <x:v>Confirmado</x:v>
      </x:c>
      <x:c r="K15" t="str">
        <x:v>Pagamento operacional</x:v>
      </x:c>
    </x:row>
    <x:row r="16" ht="21" customHeight="1">
      <x:c r="A16" t="str">
        <x:v>FIN-0015</x:v>
      </x:c>
      <x:c r="B16" s="10" t="n">
        <x:v>45674</x:v>
      </x:c>
      <x:c r="C16" t="n">
        <x:v>1</x:v>
      </x:c>
      <x:c r="D16" t="str">
        <x:v>Despesa</x:v>
      </x:c>
      <x:c r="E16" t="str">
        <x:v>Logística</x:v>
      </x:c>
      <x:c r="F16" t="str">
        <x:v>Viagens</x:v>
      </x:c>
      <x:c r="G16" t="str">
        <x:v>Omega Telecom</x:v>
      </x:c>
      <x:c r="H16" t="str">
        <x:v>DOC-25-01-015</x:v>
      </x:c>
      <x:c r="I16" s="8" t="n">
        <x:v>11236.58</x:v>
      </x:c>
      <x:c r="J16" t="str">
        <x:v>Confirmado</x:v>
      </x:c>
      <x:c r="K16" t="str">
        <x:v>Pagamento operacional</x:v>
      </x:c>
    </x:row>
    <x:row r="17" ht="21" customHeight="1">
      <x:c r="A17" t="str">
        <x:v>FIN-0016</x:v>
      </x:c>
      <x:c r="B17" s="10" t="n">
        <x:v>45675</x:v>
      </x:c>
      <x:c r="C17" t="n">
        <x:v>1</x:v>
      </x:c>
      <x:c r="D17" t="str">
        <x:v>Despesa</x:v>
      </x:c>
      <x:c r="E17" t="str">
        <x:v>Jurídico</x:v>
      </x:c>
      <x:c r="F17" t="str">
        <x:v>Consultoria</x:v>
      </x:c>
      <x:c r="G17" t="str">
        <x:v>Vértice Suprimentos</x:v>
      </x:c>
      <x:c r="H17" t="str">
        <x:v>DOC-25-01-016</x:v>
      </x:c>
      <x:c r="I17" s="8" t="n">
        <x:v>13802.12</x:v>
      </x:c>
      <x:c r="J17" t="str">
        <x:v>Confirmado</x:v>
      </x:c>
      <x:c r="K17" t="str">
        <x:v>Pagamento operacional</x:v>
      </x:c>
    </x:row>
    <x:row r="18" ht="21" customHeight="1">
      <x:c r="A18" t="str">
        <x:v>FIN-0017</x:v>
      </x:c>
      <x:c r="B18" s="10" t="n">
        <x:v>45676</x:v>
      </x:c>
      <x:c r="C18" t="n">
        <x:v>1</x:v>
      </x:c>
      <x:c r="D18" t="str">
        <x:v>Despesa</x:v>
      </x:c>
      <x:c r="E18" t="str">
        <x:v>TI</x:v>
      </x:c>
      <x:c r="F18" t="str">
        <x:v>Licenças</x:v>
      </x:c>
      <x:c r="G18" t="str">
        <x:v>Beta Facilities</x:v>
      </x:c>
      <x:c r="H18" t="str">
        <x:v>DOC-25-01-017</x:v>
      </x:c>
      <x:c r="I18" s="8" t="n">
        <x:v>12148.88</x:v>
      </x:c>
      <x:c r="J18" t="str">
        <x:v>Confirmado</x:v>
      </x:c>
      <x:c r="K18" t="str">
        <x:v>Pagamento operacional</x:v>
      </x:c>
    </x:row>
    <x:row r="19" ht="21" customHeight="1">
      <x:c r="A19" t="str">
        <x:v>FIN-0018</x:v>
      </x:c>
      <x:c r="B19" s="10" t="n">
        <x:v>45677</x:v>
      </x:c>
      <x:c r="C19" t="n">
        <x:v>1</x:v>
      </x:c>
      <x:c r="D19" t="str">
        <x:v>Despesa</x:v>
      </x:c>
      <x:c r="E19" t="str">
        <x:v>Financeiro</x:v>
      </x:c>
      <x:c r="F19" t="str">
        <x:v>Logística</x:v>
      </x:c>
      <x:c r="G19" t="str">
        <x:v>Sigma Consultoria</x:v>
      </x:c>
      <x:c r="H19" t="str">
        <x:v>DOC-25-01-018</x:v>
      </x:c>
      <x:c r="I19" s="8" t="n">
        <x:v>15054.58</x:v>
      </x:c>
      <x:c r="J19" t="str">
        <x:v>Confirmado</x:v>
      </x:c>
      <x:c r="K19" t="str">
        <x:v>Pagamento operacional</x:v>
      </x:c>
    </x:row>
    <x:row r="20" ht="21" customHeight="1">
      <x:c r="A20" t="str">
        <x:v>FIN-0019</x:v>
      </x:c>
      <x:c r="B20" s="10" t="n">
        <x:v>45691</x:v>
      </x:c>
      <x:c r="C20" t="n">
        <x:v>2</x:v>
      </x:c>
      <x:c r="D20" t="str">
        <x:v>Receita</x:v>
      </x:c>
      <x:c r="E20" t="str">
        <x:v>TI</x:v>
      </x:c>
      <x:c r="F20" t="str">
        <x:v>Venda de serviços</x:v>
      </x:c>
      <x:c r="G20" t="str">
        <x:v>Cliente 1</x:v>
      </x:c>
      <x:c r="H20" t="str">
        <x:v>DOC-25-02-001</x:v>
      </x:c>
      <x:c r="I20" s="8" t="n">
        <x:v>17442.45</x:v>
      </x:c>
      <x:c r="J20" t="str">
        <x:v>Confirmado</x:v>
      </x:c>
      <x:c r="K20" t="str">
        <x:v>Lançamento contábil</x:v>
      </x:c>
    </x:row>
    <x:row r="21" ht="21" customHeight="1">
      <x:c r="A21" t="str">
        <x:v>FIN-0020</x:v>
      </x:c>
      <x:c r="B21" s="10" t="n">
        <x:v>45692</x:v>
      </x:c>
      <x:c r="C21" t="n">
        <x:v>2</x:v>
      </x:c>
      <x:c r="D21" t="str">
        <x:v>Receita</x:v>
      </x:c>
      <x:c r="E21" t="str">
        <x:v>Financeiro</x:v>
      </x:c>
      <x:c r="F21" t="str">
        <x:v>Receita recorrente</x:v>
      </x:c>
      <x:c r="G21" t="str">
        <x:v>Cliente 2</x:v>
      </x:c>
      <x:c r="H21" t="str">
        <x:v>DOC-25-02-002</x:v>
      </x:c>
      <x:c r="I21" s="8" t="n">
        <x:v>23097.83</x:v>
      </x:c>
      <x:c r="J21" t="str">
        <x:v>Confirmado</x:v>
      </x:c>
      <x:c r="K21" t="str">
        <x:v>Lançamento contábil</x:v>
      </x:c>
    </x:row>
    <x:row r="22" ht="21" customHeight="1">
      <x:c r="A22" t="str">
        <x:v>FIN-0021</x:v>
      </x:c>
      <x:c r="B22" s="10" t="n">
        <x:v>45693</x:v>
      </x:c>
      <x:c r="C22" t="n">
        <x:v>2</x:v>
      </x:c>
      <x:c r="D22" t="str">
        <x:v>Receita</x:v>
      </x:c>
      <x:c r="E22" t="str">
        <x:v>RH</x:v>
      </x:c>
      <x:c r="F22" t="str">
        <x:v>Projetos</x:v>
      </x:c>
      <x:c r="G22" t="str">
        <x:v>Cliente 3</x:v>
      </x:c>
      <x:c r="H22" t="str">
        <x:v>DOC-25-02-003</x:v>
      </x:c>
      <x:c r="I22" s="8" t="n">
        <x:v>24741.46</x:v>
      </x:c>
      <x:c r="J22" t="str">
        <x:v>Confirmado</x:v>
      </x:c>
      <x:c r="K22" t="str">
        <x:v>Lançamento contábil</x:v>
      </x:c>
    </x:row>
    <x:row r="23" ht="21" customHeight="1">
      <x:c r="A23" t="str">
        <x:v>FIN-0022</x:v>
      </x:c>
      <x:c r="B23" s="10" t="n">
        <x:v>45694</x:v>
      </x:c>
      <x:c r="C23" t="n">
        <x:v>2</x:v>
      </x:c>
      <x:c r="D23" t="str">
        <x:v>Receita</x:v>
      </x:c>
      <x:c r="E23" t="str">
        <x:v>Marketing</x:v>
      </x:c>
      <x:c r="F23" t="str">
        <x:v>Licenciamento</x:v>
      </x:c>
      <x:c r="G23" t="str">
        <x:v>Cliente 4</x:v>
      </x:c>
      <x:c r="H23" t="str">
        <x:v>DOC-25-02-004</x:v>
      </x:c>
      <x:c r="I23" s="8" t="n">
        <x:v>24540.16</x:v>
      </x:c>
      <x:c r="J23" t="str">
        <x:v>Confirmado</x:v>
      </x:c>
      <x:c r="K23" t="str">
        <x:v>Lançamento contábil</x:v>
      </x:c>
    </x:row>
    <x:row r="24" ht="21" customHeight="1">
      <x:c r="A24" t="str">
        <x:v>FIN-0023</x:v>
      </x:c>
      <x:c r="B24" s="10" t="n">
        <x:v>45695</x:v>
      </x:c>
      <x:c r="C24" t="n">
        <x:v>2</x:v>
      </x:c>
      <x:c r="D24" t="str">
        <x:v>Receita</x:v>
      </x:c>
      <x:c r="E24" t="str">
        <x:v>Operações</x:v>
      </x:c>
      <x:c r="F24" t="str">
        <x:v>Serviços gerenciados</x:v>
      </x:c>
      <x:c r="G24" t="str">
        <x:v>Cliente 5</x:v>
      </x:c>
      <x:c r="H24" t="str">
        <x:v>DOC-25-02-005</x:v>
      </x:c>
      <x:c r="I24" s="8" t="n">
        <x:v>27060.98</x:v>
      </x:c>
      <x:c r="J24" t="str">
        <x:v>Confirmado</x:v>
      </x:c>
      <x:c r="K24" t="str">
        <x:v>Lançamento contábil</x:v>
      </x:c>
    </x:row>
    <x:row r="25" ht="21" customHeight="1">
      <x:c r="A25" t="str">
        <x:v>FIN-0024</x:v>
      </x:c>
      <x:c r="B25" s="10" t="n">
        <x:v>45696</x:v>
      </x:c>
      <x:c r="C25" t="n">
        <x:v>2</x:v>
      </x:c>
      <x:c r="D25" t="str">
        <x:v>Receita</x:v>
      </x:c>
      <x:c r="E25" t="str">
        <x:v>Comercial</x:v>
      </x:c>
      <x:c r="F25" t="str">
        <x:v>Treinamentos</x:v>
      </x:c>
      <x:c r="G25" t="str">
        <x:v>Cliente 6</x:v>
      </x:c>
      <x:c r="H25" t="str">
        <x:v>DOC-25-02-006</x:v>
      </x:c>
      <x:c r="I25" s="8" t="n">
        <x:v>30416.74</x:v>
      </x:c>
      <x:c r="J25" t="str">
        <x:v>Confirmado</x:v>
      </x:c>
      <x:c r="K25" t="str">
        <x:v>Lançamento contábil</x:v>
      </x:c>
    </x:row>
    <x:row r="26" ht="21" customHeight="1">
      <x:c r="A26" t="str">
        <x:v>FIN-0025</x:v>
      </x:c>
      <x:c r="B26" s="10" t="n">
        <x:v>45697</x:v>
      </x:c>
      <x:c r="C26" t="n">
        <x:v>2</x:v>
      </x:c>
      <x:c r="D26" t="str">
        <x:v>Despesa</x:v>
      </x:c>
      <x:c r="E26" t="str">
        <x:v>Logística</x:v>
      </x:c>
      <x:c r="F26" t="str">
        <x:v>Cloud</x:v>
      </x:c>
      <x:c r="G26" t="str">
        <x:v>Lumina Energia</x:v>
      </x:c>
      <x:c r="H26" t="str">
        <x:v>DOC-25-02-007</x:v>
      </x:c>
      <x:c r="I26" s="8" t="n">
        <x:v>4620.63</x:v>
      </x:c>
      <x:c r="J26" t="str">
        <x:v>Confirmado</x:v>
      </x:c>
      <x:c r="K26" t="str">
        <x:v>Pagamento operacional</x:v>
      </x:c>
    </x:row>
    <x:row r="27" ht="21" customHeight="1">
      <x:c r="A27" t="str">
        <x:v>FIN-0026</x:v>
      </x:c>
      <x:c r="B27" s="10" t="n">
        <x:v>45698</x:v>
      </x:c>
      <x:c r="C27" t="n">
        <x:v>2</x:v>
      </x:c>
      <x:c r="D27" t="str">
        <x:v>Despesa</x:v>
      </x:c>
      <x:c r="E27" t="str">
        <x:v>Jurídico</x:v>
      </x:c>
      <x:c r="F27" t="str">
        <x:v>Hardware</x:v>
      </x:c>
      <x:c r="G27" t="str">
        <x:v>Atlas Software</x:v>
      </x:c>
      <x:c r="H27" t="str">
        <x:v>DOC-25-02-008</x:v>
      </x:c>
      <x:c r="I27" s="8" t="n">
        <x:v>5981.74</x:v>
      </x:c>
      <x:c r="J27" t="str">
        <x:v>Confirmado</x:v>
      </x:c>
      <x:c r="K27" t="str">
        <x:v>Pagamento operacional</x:v>
      </x:c>
    </x:row>
    <x:row r="28" ht="21" customHeight="1">
      <x:c r="A28" t="str">
        <x:v>FIN-0027</x:v>
      </x:c>
      <x:c r="B28" s="10" t="n">
        <x:v>45699</x:v>
      </x:c>
      <x:c r="C28" t="n">
        <x:v>2</x:v>
      </x:c>
      <x:c r="D28" t="str">
        <x:v>Despesa</x:v>
      </x:c>
      <x:c r="E28" t="str">
        <x:v>TI</x:v>
      </x:c>
      <x:c r="F28" t="str">
        <x:v>Software</x:v>
      </x:c>
      <x:c r="G28" t="str">
        <x:v>Ponte Digital</x:v>
      </x:c>
      <x:c r="H28" t="str">
        <x:v>DOC-25-02-009</x:v>
      </x:c>
      <x:c r="I28" s="8" t="n">
        <x:v>6342.28</x:v>
      </x:c>
      <x:c r="J28" t="str">
        <x:v>Confirmado</x:v>
      </x:c>
      <x:c r="K28" t="str">
        <x:v>Pagamento operacional</x:v>
      </x:c>
    </x:row>
    <x:row r="29" ht="21" customHeight="1">
      <x:c r="A29" t="str">
        <x:v>FIN-0028</x:v>
      </x:c>
      <x:c r="B29" s="10" t="n">
        <x:v>45700</x:v>
      </x:c>
      <x:c r="C29" t="n">
        <x:v>2</x:v>
      </x:c>
      <x:c r="D29" t="str">
        <x:v>Despesa</x:v>
      </x:c>
      <x:c r="E29" t="str">
        <x:v>Financeiro</x:v>
      </x:c>
      <x:c r="F29" t="str">
        <x:v>Serviços terceirizados</x:v>
      </x:c>
      <x:c r="G29" t="str">
        <x:v>Solidez Infra</x:v>
      </x:c>
      <x:c r="H29" t="str">
        <x:v>DOC-25-02-010</x:v>
      </x:c>
      <x:c r="I29" s="8" t="n">
        <x:v>6646.44</x:v>
      </x:c>
      <x:c r="J29" t="str">
        <x:v>Confirmado</x:v>
      </x:c>
      <x:c r="K29" t="str">
        <x:v>Pagamento operacional</x:v>
      </x:c>
    </x:row>
    <x:row r="30" ht="21" customHeight="1">
      <x:c r="A30" t="str">
        <x:v>FIN-0029</x:v>
      </x:c>
      <x:c r="B30" s="10" t="n">
        <x:v>45701</x:v>
      </x:c>
      <x:c r="C30" t="n">
        <x:v>2</x:v>
      </x:c>
      <x:c r="D30" t="str">
        <x:v>Despesa</x:v>
      </x:c>
      <x:c r="E30" t="str">
        <x:v>RH</x:v>
      </x:c>
      <x:c r="F30" t="str">
        <x:v>Marketing</x:v>
      </x:c>
      <x:c r="G30" t="str">
        <x:v>Alfa Tecnologia</x:v>
      </x:c>
      <x:c r="H30" t="str">
        <x:v>DOC-25-02-011</x:v>
      </x:c>
      <x:c r="I30" s="8" t="n">
        <x:v>9018.68</x:v>
      </x:c>
      <x:c r="J30" t="str">
        <x:v>Confirmado</x:v>
      </x:c>
      <x:c r="K30" t="str">
        <x:v>Pagamento operacional</x:v>
      </x:c>
    </x:row>
    <x:row r="31" ht="21" customHeight="1">
      <x:c r="A31" t="str">
        <x:v>FIN-0030</x:v>
      </x:c>
      <x:c r="B31" s="10" t="n">
        <x:v>45702</x:v>
      </x:c>
      <x:c r="C31" t="n">
        <x:v>2</x:v>
      </x:c>
      <x:c r="D31" t="str">
        <x:v>Despesa</x:v>
      </x:c>
      <x:c r="E31" t="str">
        <x:v>Marketing</x:v>
      </x:c>
      <x:c r="F31" t="str">
        <x:v>Telefonia</x:v>
      </x:c>
      <x:c r="G31" t="str">
        <x:v>Delta Cloud</x:v>
      </x:c>
      <x:c r="H31" t="str">
        <x:v>DOC-25-02-012</x:v>
      </x:c>
      <x:c r="I31" s="8" t="n">
        <x:v>8315.62</x:v>
      </x:c>
      <x:c r="J31" t="str">
        <x:v>Confirmado</x:v>
      </x:c>
      <x:c r="K31" t="str">
        <x:v>Pagamento operacional</x:v>
      </x:c>
    </x:row>
    <x:row r="32" ht="21" customHeight="1">
      <x:c r="A32" t="str">
        <x:v>FIN-0031</x:v>
      </x:c>
      <x:c r="B32" s="10" t="n">
        <x:v>45703</x:v>
      </x:c>
      <x:c r="C32" t="n">
        <x:v>2</x:v>
      </x:c>
      <x:c r="D32" t="str">
        <x:v>Despesa</x:v>
      </x:c>
      <x:c r="E32" t="str">
        <x:v>Operações</x:v>
      </x:c>
      <x:c r="F32" t="str">
        <x:v>Energia</x:v>
      </x:c>
      <x:c r="G32" t="str">
        <x:v>Nexa Serviços</x:v>
      </x:c>
      <x:c r="H32" t="str">
        <x:v>DOC-25-02-013</x:v>
      </x:c>
      <x:c r="I32" s="8" t="n">
        <x:v>9588.51</x:v>
      </x:c>
      <x:c r="J32" t="str">
        <x:v>Confirmado</x:v>
      </x:c>
      <x:c r="K32" t="str">
        <x:v>Pagamento operacional</x:v>
      </x:c>
    </x:row>
    <x:row r="33" ht="21" customHeight="1">
      <x:c r="A33" t="str">
        <x:v>FIN-0032</x:v>
      </x:c>
      <x:c r="B33" s="10" t="n">
        <x:v>45704</x:v>
      </x:c>
      <x:c r="C33" t="n">
        <x:v>2</x:v>
      </x:c>
      <x:c r="D33" t="str">
        <x:v>Despesa</x:v>
      </x:c>
      <x:c r="E33" t="str">
        <x:v>Comercial</x:v>
      </x:c>
      <x:c r="F33" t="str">
        <x:v>Manutenção</x:v>
      </x:c>
      <x:c r="G33" t="str">
        <x:v>Omega Telecom</x:v>
      </x:c>
      <x:c r="H33" t="str">
        <x:v>DOC-25-02-014</x:v>
      </x:c>
      <x:c r="I33" s="8" t="n">
        <x:v>9848.03</x:v>
      </x:c>
      <x:c r="J33" t="str">
        <x:v>Confirmado</x:v>
      </x:c>
      <x:c r="K33" t="str">
        <x:v>Pagamento operacional</x:v>
      </x:c>
    </x:row>
    <x:row r="34" ht="21" customHeight="1">
      <x:c r="A34" t="str">
        <x:v>FIN-0033</x:v>
      </x:c>
      <x:c r="B34" s="10" t="n">
        <x:v>45705</x:v>
      </x:c>
      <x:c r="C34" t="n">
        <x:v>2</x:v>
      </x:c>
      <x:c r="D34" t="str">
        <x:v>Despesa</x:v>
      </x:c>
      <x:c r="E34" t="str">
        <x:v>Logística</x:v>
      </x:c>
      <x:c r="F34" t="str">
        <x:v>Viagens</x:v>
      </x:c>
      <x:c r="G34" t="str">
        <x:v>Vértice Suprimentos</x:v>
      </x:c>
      <x:c r="H34" t="str">
        <x:v>DOC-25-02-015</x:v>
      </x:c>
      <x:c r="I34" s="8" t="n">
        <x:v>12538.27</x:v>
      </x:c>
      <x:c r="J34" t="str">
        <x:v>Confirmado</x:v>
      </x:c>
      <x:c r="K34" t="str">
        <x:v>Pagamento operacional</x:v>
      </x:c>
    </x:row>
    <x:row r="35" ht="21" customHeight="1">
      <x:c r="A35" t="str">
        <x:v>FIN-0034</x:v>
      </x:c>
      <x:c r="B35" s="10" t="n">
        <x:v>45706</x:v>
      </x:c>
      <x:c r="C35" t="n">
        <x:v>2</x:v>
      </x:c>
      <x:c r="D35" t="str">
        <x:v>Despesa</x:v>
      </x:c>
      <x:c r="E35" t="str">
        <x:v>Jurídico</x:v>
      </x:c>
      <x:c r="F35" t="str">
        <x:v>Consultoria</x:v>
      </x:c>
      <x:c r="G35" t="str">
        <x:v>Beta Facilities</x:v>
      </x:c>
      <x:c r="H35" t="str">
        <x:v>DOC-25-02-016</x:v>
      </x:c>
      <x:c r="I35" s="8" t="n">
        <x:v>14179.98</x:v>
      </x:c>
      <x:c r="J35" t="str">
        <x:v>Confirmado</x:v>
      </x:c>
      <x:c r="K35" t="str">
        <x:v>Pagamento operacional</x:v>
      </x:c>
    </x:row>
    <x:row r="36" ht="21" customHeight="1">
      <x:c r="A36" t="str">
        <x:v>FIN-0035</x:v>
      </x:c>
      <x:c r="B36" s="10" t="n">
        <x:v>45707</x:v>
      </x:c>
      <x:c r="C36" t="n">
        <x:v>2</x:v>
      </x:c>
      <x:c r="D36" t="str">
        <x:v>Despesa</x:v>
      </x:c>
      <x:c r="E36" t="str">
        <x:v>TI</x:v>
      </x:c>
      <x:c r="F36" t="str">
        <x:v>Licenças</x:v>
      </x:c>
      <x:c r="G36" t="str">
        <x:v>Sigma Consultoria</x:v>
      </x:c>
      <x:c r="H36" t="str">
        <x:v>DOC-25-02-017</x:v>
      </x:c>
      <x:c r="I36" s="8" t="n">
        <x:v>11972.44</x:v>
      </x:c>
      <x:c r="J36" t="str">
        <x:v>Confirmado</x:v>
      </x:c>
      <x:c r="K36" t="str">
        <x:v>Pagamento operacional</x:v>
      </x:c>
    </x:row>
    <x:row r="37" ht="21" customHeight="1">
      <x:c r="A37" t="str">
        <x:v>FIN-0036</x:v>
      </x:c>
      <x:c r="B37" s="10" t="n">
        <x:v>45708</x:v>
      </x:c>
      <x:c r="C37" t="n">
        <x:v>2</x:v>
      </x:c>
      <x:c r="D37" t="str">
        <x:v>Despesa</x:v>
      </x:c>
      <x:c r="E37" t="str">
        <x:v>Financeiro</x:v>
      </x:c>
      <x:c r="F37" t="str">
        <x:v>Logística</x:v>
      </x:c>
      <x:c r="G37" t="str">
        <x:v>Orion Datacenter</x:v>
      </x:c>
      <x:c r="H37" t="str">
        <x:v>DOC-25-02-018</x:v>
      </x:c>
      <x:c r="I37" s="8" t="n">
        <x:v>13505.31</x:v>
      </x:c>
      <x:c r="J37" t="str">
        <x:v>Confirmado</x:v>
      </x:c>
      <x:c r="K37" t="str">
        <x:v>Pagamento operacional</x:v>
      </x:c>
    </x:row>
    <x:row r="38" ht="21" customHeight="1">
      <x:c r="A38" t="str">
        <x:v>FIN-0037</x:v>
      </x:c>
      <x:c r="B38" s="10" t="n">
        <x:v>45719</x:v>
      </x:c>
      <x:c r="C38" t="n">
        <x:v>3</x:v>
      </x:c>
      <x:c r="D38" t="str">
        <x:v>Receita</x:v>
      </x:c>
      <x:c r="E38" t="str">
        <x:v>TI</x:v>
      </x:c>
      <x:c r="F38" t="str">
        <x:v>Venda de serviços</x:v>
      </x:c>
      <x:c r="G38" t="str">
        <x:v>Cliente 1</x:v>
      </x:c>
      <x:c r="H38" t="str">
        <x:v>DOC-25-03-001</x:v>
      </x:c>
      <x:c r="I38" s="8" t="n">
        <x:v>18455.66</x:v>
      </x:c>
      <x:c r="J38" t="str">
        <x:v>Confirmado</x:v>
      </x:c>
      <x:c r="K38" t="str">
        <x:v>Lançamento contábil</x:v>
      </x:c>
    </x:row>
    <x:row r="39" ht="21" customHeight="1">
      <x:c r="A39" t="str">
        <x:v>FIN-0038</x:v>
      </x:c>
      <x:c r="B39" s="10" t="n">
        <x:v>45720</x:v>
      </x:c>
      <x:c r="C39" t="n">
        <x:v>3</x:v>
      </x:c>
      <x:c r="D39" t="str">
        <x:v>Receita</x:v>
      </x:c>
      <x:c r="E39" t="str">
        <x:v>Financeiro</x:v>
      </x:c>
      <x:c r="F39" t="str">
        <x:v>Receita recorrente</x:v>
      </x:c>
      <x:c r="G39" t="str">
        <x:v>Cliente 2</x:v>
      </x:c>
      <x:c r="H39" t="str">
        <x:v>DOC-25-03-002</x:v>
      </x:c>
      <x:c r="I39" s="8" t="n">
        <x:v>21406.55</x:v>
      </x:c>
      <x:c r="J39" t="str">
        <x:v>Confirmado</x:v>
      </x:c>
      <x:c r="K39" t="str">
        <x:v>Lançamento contábil</x:v>
      </x:c>
    </x:row>
    <x:row r="40" ht="21" customHeight="1">
      <x:c r="A40" t="str">
        <x:v>FIN-0039</x:v>
      </x:c>
      <x:c r="B40" s="10" t="n">
        <x:v>45721</x:v>
      </x:c>
      <x:c r="C40" t="n">
        <x:v>3</x:v>
      </x:c>
      <x:c r="D40" t="str">
        <x:v>Receita</x:v>
      </x:c>
      <x:c r="E40" t="str">
        <x:v>RH</x:v>
      </x:c>
      <x:c r="F40" t="str">
        <x:v>Projetos</x:v>
      </x:c>
      <x:c r="G40" t="str">
        <x:v>Cliente 3</x:v>
      </x:c>
      <x:c r="H40" t="str">
        <x:v>DOC-25-03-003</x:v>
      </x:c>
      <x:c r="I40" s="8" t="n">
        <x:v>26128.42</x:v>
      </x:c>
      <x:c r="J40" t="str">
        <x:v>Confirmado</x:v>
      </x:c>
      <x:c r="K40" t="str">
        <x:v>Lançamento contábil</x:v>
      </x:c>
    </x:row>
    <x:row r="41" ht="21" customHeight="1">
      <x:c r="A41" t="str">
        <x:v>FIN-0040</x:v>
      </x:c>
      <x:c r="B41" s="10" t="n">
        <x:v>45722</x:v>
      </x:c>
      <x:c r="C41" t="n">
        <x:v>3</x:v>
      </x:c>
      <x:c r="D41" t="str">
        <x:v>Receita</x:v>
      </x:c>
      <x:c r="E41" t="str">
        <x:v>Marketing</x:v>
      </x:c>
      <x:c r="F41" t="str">
        <x:v>Licenciamento</x:v>
      </x:c>
      <x:c r="G41" t="str">
        <x:v>Cliente 4</x:v>
      </x:c>
      <x:c r="H41" t="str">
        <x:v>DOC-25-03-004</x:v>
      </x:c>
      <x:c r="I41" s="8" t="n">
        <x:v>25318.17</x:v>
      </x:c>
      <x:c r="J41" t="str">
        <x:v>Confirmado</x:v>
      </x:c>
      <x:c r="K41" t="str">
        <x:v>Lançamento contábil</x:v>
      </x:c>
    </x:row>
    <x:row r="42" ht="21" customHeight="1">
      <x:c r="A42" t="str">
        <x:v>FIN-0041</x:v>
      </x:c>
      <x:c r="B42" s="10" t="n">
        <x:v>45723</x:v>
      </x:c>
      <x:c r="C42" t="n">
        <x:v>3</x:v>
      </x:c>
      <x:c r="D42" t="str">
        <x:v>Receita</x:v>
      </x:c>
      <x:c r="E42" t="str">
        <x:v>Operações</x:v>
      </x:c>
      <x:c r="F42" t="str">
        <x:v>Serviços gerenciados</x:v>
      </x:c>
      <x:c r="G42" t="str">
        <x:v>Cliente 5</x:v>
      </x:c>
      <x:c r="H42" t="str">
        <x:v>DOC-25-03-005</x:v>
      </x:c>
      <x:c r="I42" s="8" t="n">
        <x:v>27597.33</x:v>
      </x:c>
      <x:c r="J42" t="str">
        <x:v>Confirmado</x:v>
      </x:c>
      <x:c r="K42" t="str">
        <x:v>Lançamento contábil</x:v>
      </x:c>
    </x:row>
    <x:row r="43" ht="21" customHeight="1">
      <x:c r="A43" t="str">
        <x:v>FIN-0042</x:v>
      </x:c>
      <x:c r="B43" s="10" t="n">
        <x:v>45724</x:v>
      </x:c>
      <x:c r="C43" t="n">
        <x:v>3</x:v>
      </x:c>
      <x:c r="D43" t="str">
        <x:v>Receita</x:v>
      </x:c>
      <x:c r="E43" t="str">
        <x:v>Comercial</x:v>
      </x:c>
      <x:c r="F43" t="str">
        <x:v>Treinamentos</x:v>
      </x:c>
      <x:c r="G43" t="str">
        <x:v>Cliente 6</x:v>
      </x:c>
      <x:c r="H43" t="str">
        <x:v>DOC-25-03-006</x:v>
      </x:c>
      <x:c r="I43" s="8" t="n">
        <x:v>31174.04</x:v>
      </x:c>
      <x:c r="J43" t="str">
        <x:v>Confirmado</x:v>
      </x:c>
      <x:c r="K43" t="str">
        <x:v>Lançamento contábil</x:v>
      </x:c>
    </x:row>
    <x:row r="44" ht="21" customHeight="1">
      <x:c r="A44" t="str">
        <x:v>FIN-0043</x:v>
      </x:c>
      <x:c r="B44" s="10" t="n">
        <x:v>45725</x:v>
      </x:c>
      <x:c r="C44" t="n">
        <x:v>3</x:v>
      </x:c>
      <x:c r="D44" t="str">
        <x:v>Despesa</x:v>
      </x:c>
      <x:c r="E44" t="str">
        <x:v>Logística</x:v>
      </x:c>
      <x:c r="F44" t="str">
        <x:v>Cloud</x:v>
      </x:c>
      <x:c r="G44" t="str">
        <x:v>Atlas Software</x:v>
      </x:c>
      <x:c r="H44" t="str">
        <x:v>DOC-25-03-007</x:v>
      </x:c>
      <x:c r="I44" s="8" t="n">
        <x:v>5050.47</x:v>
      </x:c>
      <x:c r="J44" t="str">
        <x:v>Confirmado</x:v>
      </x:c>
      <x:c r="K44" t="str">
        <x:v>Pagamento operacional</x:v>
      </x:c>
    </x:row>
    <x:row r="45" ht="21" customHeight="1">
      <x:c r="A45" t="str">
        <x:v>FIN-0044</x:v>
      </x:c>
      <x:c r="B45" s="10" t="n">
        <x:v>45726</x:v>
      </x:c>
      <x:c r="C45" t="n">
        <x:v>3</x:v>
      </x:c>
      <x:c r="D45" t="str">
        <x:v>Despesa</x:v>
      </x:c>
      <x:c r="E45" t="str">
        <x:v>Jurídico</x:v>
      </x:c>
      <x:c r="F45" t="str">
        <x:v>Hardware</x:v>
      </x:c>
      <x:c r="G45" t="str">
        <x:v>Ponte Digital</x:v>
      </x:c>
      <x:c r="H45" t="str">
        <x:v>DOC-25-03-008</x:v>
      </x:c>
      <x:c r="I45" s="8" t="n">
        <x:v>5790.53</x:v>
      </x:c>
      <x:c r="J45" t="str">
        <x:v>Confirmado</x:v>
      </x:c>
      <x:c r="K45" t="str">
        <x:v>Pagamento operacional</x:v>
      </x:c>
    </x:row>
    <x:row r="46" ht="21" customHeight="1">
      <x:c r="A46" t="str">
        <x:v>FIN-0045</x:v>
      </x:c>
      <x:c r="B46" s="10" t="n">
        <x:v>45727</x:v>
      </x:c>
      <x:c r="C46" t="n">
        <x:v>3</x:v>
      </x:c>
      <x:c r="D46" t="str">
        <x:v>Despesa</x:v>
      </x:c>
      <x:c r="E46" t="str">
        <x:v>TI</x:v>
      </x:c>
      <x:c r="F46" t="str">
        <x:v>Software</x:v>
      </x:c>
      <x:c r="G46" t="str">
        <x:v>Solidez Infra</x:v>
      </x:c>
      <x:c r="H46" t="str">
        <x:v>DOC-25-03-009</x:v>
      </x:c>
      <x:c r="I46" s="8" t="n">
        <x:v>6671.5</x:v>
      </x:c>
      <x:c r="J46" t="str">
        <x:v>Confirmado</x:v>
      </x:c>
      <x:c r="K46" t="str">
        <x:v>Pagamento operacional</x:v>
      </x:c>
    </x:row>
    <x:row r="47" ht="21" customHeight="1">
      <x:c r="A47" t="str">
        <x:v>FIN-0046</x:v>
      </x:c>
      <x:c r="B47" s="10" t="n">
        <x:v>45728</x:v>
      </x:c>
      <x:c r="C47" t="n">
        <x:v>3</x:v>
      </x:c>
      <x:c r="D47" t="str">
        <x:v>Despesa</x:v>
      </x:c>
      <x:c r="E47" t="str">
        <x:v>Financeiro</x:v>
      </x:c>
      <x:c r="F47" t="str">
        <x:v>Serviços terceirizados</x:v>
      </x:c>
      <x:c r="G47" t="str">
        <x:v>Alfa Tecnologia</x:v>
      </x:c>
      <x:c r="H47" t="str">
        <x:v>DOC-25-03-010</x:v>
      </x:c>
      <x:c r="I47" s="8" t="n">
        <x:v>7979.31</x:v>
      </x:c>
      <x:c r="J47" t="str">
        <x:v>Confirmado</x:v>
      </x:c>
      <x:c r="K47" t="str">
        <x:v>Pagamento operacional</x:v>
      </x:c>
    </x:row>
    <x:row r="48" ht="21" customHeight="1">
      <x:c r="A48" t="str">
        <x:v>FIN-0047</x:v>
      </x:c>
      <x:c r="B48" s="10" t="n">
        <x:v>45729</x:v>
      </x:c>
      <x:c r="C48" t="n">
        <x:v>3</x:v>
      </x:c>
      <x:c r="D48" t="str">
        <x:v>Despesa</x:v>
      </x:c>
      <x:c r="E48" t="str">
        <x:v>RH</x:v>
      </x:c>
      <x:c r="F48" t="str">
        <x:v>Marketing</x:v>
      </x:c>
      <x:c r="G48" t="str">
        <x:v>Delta Cloud</x:v>
      </x:c>
      <x:c r="H48" t="str">
        <x:v>DOC-25-03-011</x:v>
      </x:c>
      <x:c r="I48" s="8" t="n">
        <x:v>7455.23</x:v>
      </x:c>
      <x:c r="J48" t="str">
        <x:v>Confirmado</x:v>
      </x:c>
      <x:c r="K48" t="str">
        <x:v>Pagamento operacional</x:v>
      </x:c>
    </x:row>
    <x:row r="49" ht="21" customHeight="1">
      <x:c r="A49" t="str">
        <x:v>FIN-0048</x:v>
      </x:c>
      <x:c r="B49" s="10" t="n">
        <x:v>45730</x:v>
      </x:c>
      <x:c r="C49" t="n">
        <x:v>3</x:v>
      </x:c>
      <x:c r="D49" t="str">
        <x:v>Despesa</x:v>
      </x:c>
      <x:c r="E49" t="str">
        <x:v>Marketing</x:v>
      </x:c>
      <x:c r="F49" t="str">
        <x:v>Telefonia</x:v>
      </x:c>
      <x:c r="G49" t="str">
        <x:v>Nexa Serviços</x:v>
      </x:c>
      <x:c r="H49" t="str">
        <x:v>DOC-25-03-012</x:v>
      </x:c>
      <x:c r="I49" s="8" t="n">
        <x:v>9569.47</x:v>
      </x:c>
      <x:c r="J49" t="str">
        <x:v>Confirmado</x:v>
      </x:c>
      <x:c r="K49" t="str">
        <x:v>Pagamento operacional</x:v>
      </x:c>
    </x:row>
    <x:row r="50" ht="21" customHeight="1">
      <x:c r="A50" t="str">
        <x:v>FIN-0049</x:v>
      </x:c>
      <x:c r="B50" s="10" t="n">
        <x:v>45731</x:v>
      </x:c>
      <x:c r="C50" t="n">
        <x:v>3</x:v>
      </x:c>
      <x:c r="D50" t="str">
        <x:v>Despesa</x:v>
      </x:c>
      <x:c r="E50" t="str">
        <x:v>Operações</x:v>
      </x:c>
      <x:c r="F50" t="str">
        <x:v>Energia</x:v>
      </x:c>
      <x:c r="G50" t="str">
        <x:v>Omega Telecom</x:v>
      </x:c>
      <x:c r="H50" t="str">
        <x:v>DOC-25-03-013</x:v>
      </x:c>
      <x:c r="I50" s="8" t="n">
        <x:v>10536.71</x:v>
      </x:c>
      <x:c r="J50" t="str">
        <x:v>Confirmado</x:v>
      </x:c>
      <x:c r="K50" t="str">
        <x:v>Pagamento operacional</x:v>
      </x:c>
    </x:row>
    <x:row r="51" ht="21" customHeight="1">
      <x:c r="A51" t="str">
        <x:v>FIN-0050</x:v>
      </x:c>
      <x:c r="B51" s="10" t="n">
        <x:v>45732</x:v>
      </x:c>
      <x:c r="C51" t="n">
        <x:v>3</x:v>
      </x:c>
      <x:c r="D51" t="str">
        <x:v>Despesa</x:v>
      </x:c>
      <x:c r="E51" t="str">
        <x:v>Comercial</x:v>
      </x:c>
      <x:c r="F51" t="str">
        <x:v>Manutenção</x:v>
      </x:c>
      <x:c r="G51" t="str">
        <x:v>Vértice Suprimentos</x:v>
      </x:c>
      <x:c r="H51" t="str">
        <x:v>DOC-25-03-014</x:v>
      </x:c>
      <x:c r="I51" s="8" t="n">
        <x:v>10608.24</x:v>
      </x:c>
      <x:c r="J51" t="str">
        <x:v>Confirmado</x:v>
      </x:c>
      <x:c r="K51" t="str">
        <x:v>Pagamento operacional</x:v>
      </x:c>
    </x:row>
    <x:row r="52" ht="21" customHeight="1">
      <x:c r="A52" t="str">
        <x:v>FIN-0051</x:v>
      </x:c>
      <x:c r="B52" s="10" t="n">
        <x:v>45733</x:v>
      </x:c>
      <x:c r="C52" t="n">
        <x:v>3</x:v>
      </x:c>
      <x:c r="D52" t="str">
        <x:v>Despesa</x:v>
      </x:c>
      <x:c r="E52" t="str">
        <x:v>Logística</x:v>
      </x:c>
      <x:c r="F52" t="str">
        <x:v>Viagens</x:v>
      </x:c>
      <x:c r="G52" t="str">
        <x:v>Beta Facilities</x:v>
      </x:c>
      <x:c r="H52" t="str">
        <x:v>DOC-25-03-015</x:v>
      </x:c>
      <x:c r="I52" s="8" t="n">
        <x:v>10772.44</x:v>
      </x:c>
      <x:c r="J52" t="str">
        <x:v>Confirmado</x:v>
      </x:c>
      <x:c r="K52" t="str">
        <x:v>Pagamento operacional</x:v>
      </x:c>
    </x:row>
    <x:row r="53" ht="21" customHeight="1">
      <x:c r="A53" t="str">
        <x:v>FIN-0052</x:v>
      </x:c>
      <x:c r="B53" s="10" t="n">
        <x:v>45734</x:v>
      </x:c>
      <x:c r="C53" t="n">
        <x:v>3</x:v>
      </x:c>
      <x:c r="D53" t="str">
        <x:v>Despesa</x:v>
      </x:c>
      <x:c r="E53" t="str">
        <x:v>Jurídico</x:v>
      </x:c>
      <x:c r="F53" t="str">
        <x:v>Consultoria</x:v>
      </x:c>
      <x:c r="G53" t="str">
        <x:v>Sigma Consultoria</x:v>
      </x:c>
      <x:c r="H53" t="str">
        <x:v>DOC-25-03-016</x:v>
      </x:c>
      <x:c r="I53" s="8" t="n">
        <x:v>12555.16</x:v>
      </x:c>
      <x:c r="J53" t="str">
        <x:v>Confirmado</x:v>
      </x:c>
      <x:c r="K53" t="str">
        <x:v>Pagamento operacional</x:v>
      </x:c>
    </x:row>
    <x:row r="54" ht="21" customHeight="1">
      <x:c r="A54" t="str">
        <x:v>FIN-0053</x:v>
      </x:c>
      <x:c r="B54" s="10" t="n">
        <x:v>45735</x:v>
      </x:c>
      <x:c r="C54" t="n">
        <x:v>3</x:v>
      </x:c>
      <x:c r="D54" t="str">
        <x:v>Despesa</x:v>
      </x:c>
      <x:c r="E54" t="str">
        <x:v>TI</x:v>
      </x:c>
      <x:c r="F54" t="str">
        <x:v>Licenças</x:v>
      </x:c>
      <x:c r="G54" t="str">
        <x:v>Orion Datacenter</x:v>
      </x:c>
      <x:c r="H54" t="str">
        <x:v>DOC-25-03-017</x:v>
      </x:c>
      <x:c r="I54" s="8" t="n">
        <x:v>14751.05</x:v>
      </x:c>
      <x:c r="J54" t="str">
        <x:v>Confirmado</x:v>
      </x:c>
      <x:c r="K54" t="str">
        <x:v>Pagamento operacional</x:v>
      </x:c>
    </x:row>
    <x:row r="55" ht="21" customHeight="1">
      <x:c r="A55" t="str">
        <x:v>FIN-0054</x:v>
      </x:c>
      <x:c r="B55" s="10" t="n">
        <x:v>45736</x:v>
      </x:c>
      <x:c r="C55" t="n">
        <x:v>3</x:v>
      </x:c>
      <x:c r="D55" t="str">
        <x:v>Despesa</x:v>
      </x:c>
      <x:c r="E55" t="str">
        <x:v>Financeiro</x:v>
      </x:c>
      <x:c r="F55" t="str">
        <x:v>Logística</x:v>
      </x:c>
      <x:c r="G55" t="str">
        <x:v>Lumina Energia</x:v>
      </x:c>
      <x:c r="H55" t="str">
        <x:v>DOC-25-03-018</x:v>
      </x:c>
      <x:c r="I55" s="8" t="n">
        <x:v>14815.26</x:v>
      </x:c>
      <x:c r="J55" t="str">
        <x:v>Confirmado</x:v>
      </x:c>
      <x:c r="K55" t="str">
        <x:v>Pagamento operacional</x:v>
      </x:c>
    </x:row>
    <x:row r="56" ht="21" customHeight="1">
      <x:c r="A56" t="str">
        <x:v>FIN-0055</x:v>
      </x:c>
      <x:c r="B56" s="10" t="n">
        <x:v>45750</x:v>
      </x:c>
      <x:c r="C56" t="n">
        <x:v>4</x:v>
      </x:c>
      <x:c r="D56" t="str">
        <x:v>Receita</x:v>
      </x:c>
      <x:c r="E56" t="str">
        <x:v>TI</x:v>
      </x:c>
      <x:c r="F56" t="str">
        <x:v>Venda de serviços</x:v>
      </x:c>
      <x:c r="G56" t="str">
        <x:v>Cliente 1</x:v>
      </x:c>
      <x:c r="H56" t="str">
        <x:v>DOC-25-04-001</x:v>
      </x:c>
      <x:c r="I56" s="8" t="n">
        <x:v>20493.19</x:v>
      </x:c>
      <x:c r="J56" t="str">
        <x:v>Confirmado</x:v>
      </x:c>
      <x:c r="K56" t="str">
        <x:v>Lançamento contábil</x:v>
      </x:c>
    </x:row>
    <x:row r="57" ht="21" customHeight="1">
      <x:c r="A57" t="str">
        <x:v>FIN-0056</x:v>
      </x:c>
      <x:c r="B57" s="10" t="n">
        <x:v>45751</x:v>
      </x:c>
      <x:c r="C57" t="n">
        <x:v>4</x:v>
      </x:c>
      <x:c r="D57" t="str">
        <x:v>Receita</x:v>
      </x:c>
      <x:c r="E57" t="str">
        <x:v>Financeiro</x:v>
      </x:c>
      <x:c r="F57" t="str">
        <x:v>Receita recorrente</x:v>
      </x:c>
      <x:c r="G57" t="str">
        <x:v>Cliente 2</x:v>
      </x:c>
      <x:c r="H57" t="str">
        <x:v>DOC-25-04-002</x:v>
      </x:c>
      <x:c r="I57" s="8" t="n">
        <x:v>24891.71</x:v>
      </x:c>
      <x:c r="J57" t="str">
        <x:v>Confirmado</x:v>
      </x:c>
      <x:c r="K57" t="str">
        <x:v>Lançamento contábil</x:v>
      </x:c>
    </x:row>
    <x:row r="58" ht="21" customHeight="1">
      <x:c r="A58" t="str">
        <x:v>FIN-0057</x:v>
      </x:c>
      <x:c r="B58" s="10" t="n">
        <x:v>45752</x:v>
      </x:c>
      <x:c r="C58" t="n">
        <x:v>4</x:v>
      </x:c>
      <x:c r="D58" t="str">
        <x:v>Receita</x:v>
      </x:c>
      <x:c r="E58" t="str">
        <x:v>RH</x:v>
      </x:c>
      <x:c r="F58" t="str">
        <x:v>Projetos</x:v>
      </x:c>
      <x:c r="G58" t="str">
        <x:v>Cliente 3</x:v>
      </x:c>
      <x:c r="H58" t="str">
        <x:v>DOC-25-04-003</x:v>
      </x:c>
      <x:c r="I58" s="8" t="n">
        <x:v>24004.02</x:v>
      </x:c>
      <x:c r="J58" t="str">
        <x:v>Confirmado</x:v>
      </x:c>
      <x:c r="K58" t="str">
        <x:v>Lançamento contábil</x:v>
      </x:c>
    </x:row>
    <x:row r="59" ht="21" customHeight="1">
      <x:c r="A59" t="str">
        <x:v>FIN-0058</x:v>
      </x:c>
      <x:c r="B59" s="10" t="n">
        <x:v>45753</x:v>
      </x:c>
      <x:c r="C59" t="n">
        <x:v>4</x:v>
      </x:c>
      <x:c r="D59" t="str">
        <x:v>Receita</x:v>
      </x:c>
      <x:c r="E59" t="str">
        <x:v>Marketing</x:v>
      </x:c>
      <x:c r="F59" t="str">
        <x:v>Licenciamento</x:v>
      </x:c>
      <x:c r="G59" t="str">
        <x:v>Cliente 4</x:v>
      </x:c>
      <x:c r="H59" t="str">
        <x:v>DOC-25-04-004</x:v>
      </x:c>
      <x:c r="I59" s="8" t="n">
        <x:v>28217.32</x:v>
      </x:c>
      <x:c r="J59" t="str">
        <x:v>Confirmado</x:v>
      </x:c>
      <x:c r="K59" t="str">
        <x:v>Lançamento contábil</x:v>
      </x:c>
    </x:row>
    <x:row r="60" ht="21" customHeight="1">
      <x:c r="A60" t="str">
        <x:v>FIN-0059</x:v>
      </x:c>
      <x:c r="B60" s="10" t="n">
        <x:v>45754</x:v>
      </x:c>
      <x:c r="C60" t="n">
        <x:v>4</x:v>
      </x:c>
      <x:c r="D60" t="str">
        <x:v>Receita</x:v>
      </x:c>
      <x:c r="E60" t="str">
        <x:v>Operações</x:v>
      </x:c>
      <x:c r="F60" t="str">
        <x:v>Serviços gerenciados</x:v>
      </x:c>
      <x:c r="G60" t="str">
        <x:v>Cliente 5</x:v>
      </x:c>
      <x:c r="H60" t="str">
        <x:v>DOC-25-04-005</x:v>
      </x:c>
      <x:c r="I60" s="8" t="n">
        <x:v>31694.99</x:v>
      </x:c>
      <x:c r="J60" t="str">
        <x:v>Confirmado</x:v>
      </x:c>
      <x:c r="K60" t="str">
        <x:v>Lançamento contábil</x:v>
      </x:c>
    </x:row>
    <x:row r="61" ht="21" customHeight="1">
      <x:c r="A61" t="str">
        <x:v>FIN-0060</x:v>
      </x:c>
      <x:c r="B61" s="10" t="n">
        <x:v>45755</x:v>
      </x:c>
      <x:c r="C61" t="n">
        <x:v>4</x:v>
      </x:c>
      <x:c r="D61" t="str">
        <x:v>Receita</x:v>
      </x:c>
      <x:c r="E61" t="str">
        <x:v>Comercial</x:v>
      </x:c>
      <x:c r="F61" t="str">
        <x:v>Treinamentos</x:v>
      </x:c>
      <x:c r="G61" t="str">
        <x:v>Cliente 6</x:v>
      </x:c>
      <x:c r="H61" t="str">
        <x:v>DOC-25-04-006</x:v>
      </x:c>
      <x:c r="I61" s="8" t="n">
        <x:v>32186.84</x:v>
      </x:c>
      <x:c r="J61" t="str">
        <x:v>Confirmado</x:v>
      </x:c>
      <x:c r="K61" t="str">
        <x:v>Lançamento contábil</x:v>
      </x:c>
    </x:row>
    <x:row r="62" ht="21" customHeight="1">
      <x:c r="A62" t="str">
        <x:v>FIN-0061</x:v>
      </x:c>
      <x:c r="B62" s="10" t="n">
        <x:v>45756</x:v>
      </x:c>
      <x:c r="C62" t="n">
        <x:v>4</x:v>
      </x:c>
      <x:c r="D62" t="str">
        <x:v>Despesa</x:v>
      </x:c>
      <x:c r="E62" t="str">
        <x:v>Logística</x:v>
      </x:c>
      <x:c r="F62" t="str">
        <x:v>Cloud</x:v>
      </x:c>
      <x:c r="G62" t="str">
        <x:v>Ponte Digital</x:v>
      </x:c>
      <x:c r="H62" t="str">
        <x:v>DOC-25-04-007</x:v>
      </x:c>
      <x:c r="I62" s="8" t="n">
        <x:v>4913.17</x:v>
      </x:c>
      <x:c r="J62" t="str">
        <x:v>Confirmado</x:v>
      </x:c>
      <x:c r="K62" t="str">
        <x:v>Pagamento operacional</x:v>
      </x:c>
    </x:row>
    <x:row r="63" ht="21" customHeight="1">
      <x:c r="A63" t="str">
        <x:v>FIN-0062</x:v>
      </x:c>
      <x:c r="B63" s="10" t="n">
        <x:v>45757</x:v>
      </x:c>
      <x:c r="C63" t="n">
        <x:v>4</x:v>
      </x:c>
      <x:c r="D63" t="str">
        <x:v>Despesa</x:v>
      </x:c>
      <x:c r="E63" t="str">
        <x:v>Jurídico</x:v>
      </x:c>
      <x:c r="F63" t="str">
        <x:v>Hardware</x:v>
      </x:c>
      <x:c r="G63" t="str">
        <x:v>Solidez Infra</x:v>
      </x:c>
      <x:c r="H63" t="str">
        <x:v>DOC-25-04-008</x:v>
      </x:c>
      <x:c r="I63" s="8" t="n">
        <x:v>6127.32</x:v>
      </x:c>
      <x:c r="J63" t="str">
        <x:v>Confirmado</x:v>
      </x:c>
      <x:c r="K63" t="str">
        <x:v>Pagamento operacional</x:v>
      </x:c>
    </x:row>
    <x:row r="64" ht="21" customHeight="1">
      <x:c r="A64" t="str">
        <x:v>FIN-0063</x:v>
      </x:c>
      <x:c r="B64" s="10" t="n">
        <x:v>45758</x:v>
      </x:c>
      <x:c r="C64" t="n">
        <x:v>4</x:v>
      </x:c>
      <x:c r="D64" t="str">
        <x:v>Despesa</x:v>
      </x:c>
      <x:c r="E64" t="str">
        <x:v>TI</x:v>
      </x:c>
      <x:c r="F64" t="str">
        <x:v>Software</x:v>
      </x:c>
      <x:c r="G64" t="str">
        <x:v>Alfa Tecnologia</x:v>
      </x:c>
      <x:c r="H64" t="str">
        <x:v>DOC-25-04-009</x:v>
      </x:c>
      <x:c r="I64" s="8" t="n">
        <x:v>6851.92</x:v>
      </x:c>
      <x:c r="J64" t="str">
        <x:v>Confirmado</x:v>
      </x:c>
      <x:c r="K64" t="str">
        <x:v>Pagamento operacional</x:v>
      </x:c>
    </x:row>
    <x:row r="65" ht="21" customHeight="1">
      <x:c r="A65" t="str">
        <x:v>FIN-0064</x:v>
      </x:c>
      <x:c r="B65" s="10" t="n">
        <x:v>45759</x:v>
      </x:c>
      <x:c r="C65" t="n">
        <x:v>4</x:v>
      </x:c>
      <x:c r="D65" t="str">
        <x:v>Despesa</x:v>
      </x:c>
      <x:c r="E65" t="str">
        <x:v>Financeiro</x:v>
      </x:c>
      <x:c r="F65" t="str">
        <x:v>Serviços terceirizados</x:v>
      </x:c>
      <x:c r="G65" t="str">
        <x:v>Delta Cloud</x:v>
      </x:c>
      <x:c r="H65" t="str">
        <x:v>DOC-25-04-010</x:v>
      </x:c>
      <x:c r="I65" s="8" t="n">
        <x:v>7685.52</x:v>
      </x:c>
      <x:c r="J65" t="str">
        <x:v>Confirmado</x:v>
      </x:c>
      <x:c r="K65" t="str">
        <x:v>Pagamento operacional</x:v>
      </x:c>
    </x:row>
    <x:row r="66" ht="21" customHeight="1">
      <x:c r="A66" t="str">
        <x:v>FIN-0065</x:v>
      </x:c>
      <x:c r="B66" s="10" t="n">
        <x:v>45760</x:v>
      </x:c>
      <x:c r="C66" t="n">
        <x:v>4</x:v>
      </x:c>
      <x:c r="D66" t="str">
        <x:v>Despesa</x:v>
      </x:c>
      <x:c r="E66" t="str">
        <x:v>RH</x:v>
      </x:c>
      <x:c r="F66" t="str">
        <x:v>Marketing</x:v>
      </x:c>
      <x:c r="G66" t="str">
        <x:v>Nexa Serviços</x:v>
      </x:c>
      <x:c r="H66" t="str">
        <x:v>DOC-25-04-011</x:v>
      </x:c>
      <x:c r="I66" s="8" t="n">
        <x:v>9323.04</x:v>
      </x:c>
      <x:c r="J66" t="str">
        <x:v>Confirmado</x:v>
      </x:c>
      <x:c r="K66" t="str">
        <x:v>Pagamento operacional</x:v>
      </x:c>
    </x:row>
    <x:row r="67" ht="21" customHeight="1">
      <x:c r="A67" t="str">
        <x:v>FIN-0066</x:v>
      </x:c>
      <x:c r="B67" s="10" t="n">
        <x:v>45761</x:v>
      </x:c>
      <x:c r="C67" t="n">
        <x:v>4</x:v>
      </x:c>
      <x:c r="D67" t="str">
        <x:v>Despesa</x:v>
      </x:c>
      <x:c r="E67" t="str">
        <x:v>Marketing</x:v>
      </x:c>
      <x:c r="F67" t="str">
        <x:v>Telefonia</x:v>
      </x:c>
      <x:c r="G67" t="str">
        <x:v>Omega Telecom</x:v>
      </x:c>
      <x:c r="H67" t="str">
        <x:v>DOC-25-04-012</x:v>
      </x:c>
      <x:c r="I67" s="8" t="n">
        <x:v>10354.94</x:v>
      </x:c>
      <x:c r="J67" t="str">
        <x:v>Confirmado</x:v>
      </x:c>
      <x:c r="K67" t="str">
        <x:v>Pagamento operacional</x:v>
      </x:c>
    </x:row>
    <x:row r="68" ht="21" customHeight="1">
      <x:c r="A68" t="str">
        <x:v>FIN-0067</x:v>
      </x:c>
      <x:c r="B68" s="10" t="n">
        <x:v>45762</x:v>
      </x:c>
      <x:c r="C68" t="n">
        <x:v>4</x:v>
      </x:c>
      <x:c r="D68" t="str">
        <x:v>Despesa</x:v>
      </x:c>
      <x:c r="E68" t="str">
        <x:v>Operações</x:v>
      </x:c>
      <x:c r="F68" t="str">
        <x:v>Energia</x:v>
      </x:c>
      <x:c r="G68" t="str">
        <x:v>Vértice Suprimentos</x:v>
      </x:c>
      <x:c r="H68" t="str">
        <x:v>DOC-25-04-013</x:v>
      </x:c>
      <x:c r="I68" s="8" t="n">
        <x:v>10588.82</x:v>
      </x:c>
      <x:c r="J68" t="str">
        <x:v>Confirmado</x:v>
      </x:c>
      <x:c r="K68" t="str">
        <x:v>Pagamento operacional</x:v>
      </x:c>
    </x:row>
    <x:row r="69" ht="21" customHeight="1">
      <x:c r="A69" t="str">
        <x:v>FIN-0068</x:v>
      </x:c>
      <x:c r="B69" s="10" t="n">
        <x:v>45763</x:v>
      </x:c>
      <x:c r="C69" t="n">
        <x:v>4</x:v>
      </x:c>
      <x:c r="D69" t="str">
        <x:v>Despesa</x:v>
      </x:c>
      <x:c r="E69" t="str">
        <x:v>Comercial</x:v>
      </x:c>
      <x:c r="F69" t="str">
        <x:v>Manutenção</x:v>
      </x:c>
      <x:c r="G69" t="str">
        <x:v>Beta Facilities</x:v>
      </x:c>
      <x:c r="H69" t="str">
        <x:v>DOC-25-04-014</x:v>
      </x:c>
      <x:c r="I69" s="8" t="n">
        <x:v>11134.57</x:v>
      </x:c>
      <x:c r="J69" t="str">
        <x:v>Confirmado</x:v>
      </x:c>
      <x:c r="K69" t="str">
        <x:v>Pagamento operacional</x:v>
      </x:c>
    </x:row>
    <x:row r="70" ht="21" customHeight="1">
      <x:c r="A70" t="str">
        <x:v>FIN-0069</x:v>
      </x:c>
      <x:c r="B70" s="10" t="n">
        <x:v>45764</x:v>
      </x:c>
      <x:c r="C70" t="n">
        <x:v>4</x:v>
      </x:c>
      <x:c r="D70" t="str">
        <x:v>Despesa</x:v>
      </x:c>
      <x:c r="E70" t="str">
        <x:v>Logística</x:v>
      </x:c>
      <x:c r="F70" t="str">
        <x:v>Viagens</x:v>
      </x:c>
      <x:c r="G70" t="str">
        <x:v>Sigma Consultoria</x:v>
      </x:c>
      <x:c r="H70" t="str">
        <x:v>DOC-25-04-015</x:v>
      </x:c>
      <x:c r="I70" s="8" t="n">
        <x:v>11653.64</x:v>
      </x:c>
      <x:c r="J70" t="str">
        <x:v>Confirmado</x:v>
      </x:c>
      <x:c r="K70" t="str">
        <x:v>Pagamento operacional</x:v>
      </x:c>
    </x:row>
    <x:row r="71" ht="21" customHeight="1">
      <x:c r="A71" t="str">
        <x:v>FIN-0070</x:v>
      </x:c>
      <x:c r="B71" s="10" t="n">
        <x:v>45765</x:v>
      </x:c>
      <x:c r="C71" t="n">
        <x:v>4</x:v>
      </x:c>
      <x:c r="D71" t="str">
        <x:v>Despesa</x:v>
      </x:c>
      <x:c r="E71" t="str">
        <x:v>Jurídico</x:v>
      </x:c>
      <x:c r="F71" t="str">
        <x:v>Consultoria</x:v>
      </x:c>
      <x:c r="G71" t="str">
        <x:v>Orion Datacenter</x:v>
      </x:c>
      <x:c r="H71" t="str">
        <x:v>DOC-25-04-016</x:v>
      </x:c>
      <x:c r="I71" s="8" t="n">
        <x:v>11802.01</x:v>
      </x:c>
      <x:c r="J71" t="str">
        <x:v>Confirmado</x:v>
      </x:c>
      <x:c r="K71" t="str">
        <x:v>Pagamento operacional</x:v>
      </x:c>
    </x:row>
    <x:row r="72" ht="21" customHeight="1">
      <x:c r="A72" t="str">
        <x:v>FIN-0071</x:v>
      </x:c>
      <x:c r="B72" s="10" t="n">
        <x:v>45766</x:v>
      </x:c>
      <x:c r="C72" t="n">
        <x:v>4</x:v>
      </x:c>
      <x:c r="D72" t="str">
        <x:v>Despesa</x:v>
      </x:c>
      <x:c r="E72" t="str">
        <x:v>TI</x:v>
      </x:c>
      <x:c r="F72" t="str">
        <x:v>Licenças</x:v>
      </x:c>
      <x:c r="G72" t="str">
        <x:v>Lumina Energia</x:v>
      </x:c>
      <x:c r="H72" t="str">
        <x:v>DOC-25-04-017</x:v>
      </x:c>
      <x:c r="I72" s="8" t="n">
        <x:v>13121.75</x:v>
      </x:c>
      <x:c r="J72" t="str">
        <x:v>Confirmado</x:v>
      </x:c>
      <x:c r="K72" t="str">
        <x:v>Pagamento operacional</x:v>
      </x:c>
    </x:row>
    <x:row r="73" ht="21" customHeight="1">
      <x:c r="A73" t="str">
        <x:v>FIN-0072</x:v>
      </x:c>
      <x:c r="B73" s="10" t="n">
        <x:v>45767</x:v>
      </x:c>
      <x:c r="C73" t="n">
        <x:v>4</x:v>
      </x:c>
      <x:c r="D73" t="str">
        <x:v>Despesa</x:v>
      </x:c>
      <x:c r="E73" t="str">
        <x:v>Financeiro</x:v>
      </x:c>
      <x:c r="F73" t="str">
        <x:v>Logística</x:v>
      </x:c>
      <x:c r="G73" t="str">
        <x:v>Atlas Software</x:v>
      </x:c>
      <x:c r="H73" t="str">
        <x:v>DOC-25-04-018</x:v>
      </x:c>
      <x:c r="I73" s="8" t="n">
        <x:v>16516.94</x:v>
      </x:c>
      <x:c r="J73" t="str">
        <x:v>Confirmado</x:v>
      </x:c>
      <x:c r="K73" t="str">
        <x:v>Pagamento operacional</x:v>
      </x:c>
    </x:row>
    <x:row r="74" ht="21" customHeight="1">
      <x:c r="A74" t="str">
        <x:v>FIN-0073</x:v>
      </x:c>
      <x:c r="B74" s="10" t="n">
        <x:v>45780</x:v>
      </x:c>
      <x:c r="C74" t="n">
        <x:v>5</x:v>
      </x:c>
      <x:c r="D74" t="str">
        <x:v>Receita</x:v>
      </x:c>
      <x:c r="E74" t="str">
        <x:v>TI</x:v>
      </x:c>
      <x:c r="F74" t="str">
        <x:v>Venda de serviços</x:v>
      </x:c>
      <x:c r="G74" t="str">
        <x:v>Cliente 1</x:v>
      </x:c>
      <x:c r="H74" t="str">
        <x:v>DOC-25-05-001</x:v>
      </x:c>
      <x:c r="I74" s="8" t="n">
        <x:v>22955.61</x:v>
      </x:c>
      <x:c r="J74" t="str">
        <x:v>Confirmado</x:v>
      </x:c>
      <x:c r="K74" t="str">
        <x:v>Lançamento contábil</x:v>
      </x:c>
    </x:row>
    <x:row r="75" ht="21" customHeight="1">
      <x:c r="A75" t="str">
        <x:v>FIN-0074</x:v>
      </x:c>
      <x:c r="B75" s="10" t="n">
        <x:v>45781</x:v>
      </x:c>
      <x:c r="C75" t="n">
        <x:v>5</x:v>
      </x:c>
      <x:c r="D75" t="str">
        <x:v>Receita</x:v>
      </x:c>
      <x:c r="E75" t="str">
        <x:v>Financeiro</x:v>
      </x:c>
      <x:c r="F75" t="str">
        <x:v>Receita recorrente</x:v>
      </x:c>
      <x:c r="G75" t="str">
        <x:v>Cliente 2</x:v>
      </x:c>
      <x:c r="H75" t="str">
        <x:v>DOC-25-05-002</x:v>
      </x:c>
      <x:c r="I75" s="8" t="n">
        <x:v>24468.68</x:v>
      </x:c>
      <x:c r="J75" t="str">
        <x:v>Confirmado</x:v>
      </x:c>
      <x:c r="K75" t="str">
        <x:v>Lançamento contábil</x:v>
      </x:c>
    </x:row>
    <x:row r="76" ht="21" customHeight="1">
      <x:c r="A76" t="str">
        <x:v>FIN-0075</x:v>
      </x:c>
      <x:c r="B76" s="10" t="n">
        <x:v>45782</x:v>
      </x:c>
      <x:c r="C76" t="n">
        <x:v>5</x:v>
      </x:c>
      <x:c r="D76" t="str">
        <x:v>Receita</x:v>
      </x:c>
      <x:c r="E76" t="str">
        <x:v>RH</x:v>
      </x:c>
      <x:c r="F76" t="str">
        <x:v>Projetos</x:v>
      </x:c>
      <x:c r="G76" t="str">
        <x:v>Cliente 3</x:v>
      </x:c>
      <x:c r="H76" t="str">
        <x:v>DOC-25-05-003</x:v>
      </x:c>
      <x:c r="I76" s="8" t="n">
        <x:v>22978.15</x:v>
      </x:c>
      <x:c r="J76" t="str">
        <x:v>Confirmado</x:v>
      </x:c>
      <x:c r="K76" t="str">
        <x:v>Lançamento contábil</x:v>
      </x:c>
    </x:row>
    <x:row r="77" ht="21" customHeight="1">
      <x:c r="A77" t="str">
        <x:v>FIN-0076</x:v>
      </x:c>
      <x:c r="B77" s="10" t="n">
        <x:v>45783</x:v>
      </x:c>
      <x:c r="C77" t="n">
        <x:v>5</x:v>
      </x:c>
      <x:c r="D77" t="str">
        <x:v>Receita</x:v>
      </x:c>
      <x:c r="E77" t="str">
        <x:v>Marketing</x:v>
      </x:c>
      <x:c r="F77" t="str">
        <x:v>Licenciamento</x:v>
      </x:c>
      <x:c r="G77" t="str">
        <x:v>Cliente 4</x:v>
      </x:c>
      <x:c r="H77" t="str">
        <x:v>DOC-25-05-004</x:v>
      </x:c>
      <x:c r="I77" s="8" t="n">
        <x:v>26209.62</x:v>
      </x:c>
      <x:c r="J77" t="str">
        <x:v>Confirmado</x:v>
      </x:c>
      <x:c r="K77" t="str">
        <x:v>Lançamento contábil</x:v>
      </x:c>
    </x:row>
    <x:row r="78" ht="21" customHeight="1">
      <x:c r="A78" t="str">
        <x:v>FIN-0077</x:v>
      </x:c>
      <x:c r="B78" s="10" t="n">
        <x:v>45784</x:v>
      </x:c>
      <x:c r="C78" t="n">
        <x:v>5</x:v>
      </x:c>
      <x:c r="D78" t="str">
        <x:v>Receita</x:v>
      </x:c>
      <x:c r="E78" t="str">
        <x:v>Operações</x:v>
      </x:c>
      <x:c r="F78" t="str">
        <x:v>Serviços gerenciados</x:v>
      </x:c>
      <x:c r="G78" t="str">
        <x:v>Cliente 5</x:v>
      </x:c>
      <x:c r="H78" t="str">
        <x:v>DOC-25-05-005</x:v>
      </x:c>
      <x:c r="I78" s="8" t="n">
        <x:v>32985.99</x:v>
      </x:c>
      <x:c r="J78" t="str">
        <x:v>Confirmado</x:v>
      </x:c>
      <x:c r="K78" t="str">
        <x:v>Lançamento contábil</x:v>
      </x:c>
    </x:row>
    <x:row r="79" ht="21" customHeight="1">
      <x:c r="A79" t="str">
        <x:v>FIN-0078</x:v>
      </x:c>
      <x:c r="B79" s="10" t="n">
        <x:v>45785</x:v>
      </x:c>
      <x:c r="C79" t="n">
        <x:v>5</x:v>
      </x:c>
      <x:c r="D79" t="str">
        <x:v>Receita</x:v>
      </x:c>
      <x:c r="E79" t="str">
        <x:v>Comercial</x:v>
      </x:c>
      <x:c r="F79" t="str">
        <x:v>Treinamentos</x:v>
      </x:c>
      <x:c r="G79" t="str">
        <x:v>Cliente 6</x:v>
      </x:c>
      <x:c r="H79" t="str">
        <x:v>DOC-25-05-006</x:v>
      </x:c>
      <x:c r="I79" s="8" t="n">
        <x:v>33668.56</x:v>
      </x:c>
      <x:c r="J79" t="str">
        <x:v>Confirmado</x:v>
      </x:c>
      <x:c r="K79" t="str">
        <x:v>Lançamento contábil</x:v>
      </x:c>
    </x:row>
    <x:row r="80" ht="21" customHeight="1">
      <x:c r="A80" t="str">
        <x:v>FIN-0079</x:v>
      </x:c>
      <x:c r="B80" s="10" t="n">
        <x:v>45786</x:v>
      </x:c>
      <x:c r="C80" t="n">
        <x:v>5</x:v>
      </x:c>
      <x:c r="D80" t="str">
        <x:v>Despesa</x:v>
      </x:c>
      <x:c r="E80" t="str">
        <x:v>Logística</x:v>
      </x:c>
      <x:c r="F80" t="str">
        <x:v>Cloud</x:v>
      </x:c>
      <x:c r="G80" t="str">
        <x:v>Solidez Infra</x:v>
      </x:c>
      <x:c r="H80" t="str">
        <x:v>DOC-25-05-007</x:v>
      </x:c>
      <x:c r="I80" s="8" t="n">
        <x:v>4834.81</x:v>
      </x:c>
      <x:c r="J80" t="str">
        <x:v>Confirmado</x:v>
      </x:c>
      <x:c r="K80" t="str">
        <x:v>Pagamento operacional</x:v>
      </x:c>
    </x:row>
    <x:row r="81" ht="21" customHeight="1">
      <x:c r="A81" t="str">
        <x:v>FIN-0080</x:v>
      </x:c>
      <x:c r="B81" s="10" t="n">
        <x:v>45787</x:v>
      </x:c>
      <x:c r="C81" t="n">
        <x:v>5</x:v>
      </x:c>
      <x:c r="D81" t="str">
        <x:v>Despesa</x:v>
      </x:c>
      <x:c r="E81" t="str">
        <x:v>Jurídico</x:v>
      </x:c>
      <x:c r="F81" t="str">
        <x:v>Hardware</x:v>
      </x:c>
      <x:c r="G81" t="str">
        <x:v>Alfa Tecnologia</x:v>
      </x:c>
      <x:c r="H81" t="str">
        <x:v>DOC-25-05-008</x:v>
      </x:c>
      <x:c r="I81" s="8" t="n">
        <x:v>5621.09</x:v>
      </x:c>
      <x:c r="J81" t="str">
        <x:v>Confirmado</x:v>
      </x:c>
      <x:c r="K81" t="str">
        <x:v>Pagamento operacional</x:v>
      </x:c>
    </x:row>
    <x:row r="82" ht="21" customHeight="1">
      <x:c r="A82" t="str">
        <x:v>FIN-0081</x:v>
      </x:c>
      <x:c r="B82" s="10" t="n">
        <x:v>45788</x:v>
      </x:c>
      <x:c r="C82" t="n">
        <x:v>5</x:v>
      </x:c>
      <x:c r="D82" t="str">
        <x:v>Despesa</x:v>
      </x:c>
      <x:c r="E82" t="str">
        <x:v>TI</x:v>
      </x:c>
      <x:c r="F82" t="str">
        <x:v>Software</x:v>
      </x:c>
      <x:c r="G82" t="str">
        <x:v>Delta Cloud</x:v>
      </x:c>
      <x:c r="H82" t="str">
        <x:v>DOC-25-05-009</x:v>
      </x:c>
      <x:c r="I82" s="8" t="n">
        <x:v>12721.85</x:v>
      </x:c>
      <x:c r="J82" t="str">
        <x:v>Confirmado</x:v>
      </x:c>
      <x:c r="K82" t="str">
        <x:v>Pagamento operacional</x:v>
      </x:c>
    </x:row>
    <x:row r="83" ht="21" customHeight="1">
      <x:c r="A83" t="str">
        <x:v>FIN-0082</x:v>
      </x:c>
      <x:c r="B83" s="10" t="n">
        <x:v>45789</x:v>
      </x:c>
      <x:c r="C83" t="n">
        <x:v>5</x:v>
      </x:c>
      <x:c r="D83" t="str">
        <x:v>Despesa</x:v>
      </x:c>
      <x:c r="E83" t="str">
        <x:v>Financeiro</x:v>
      </x:c>
      <x:c r="F83" t="str">
        <x:v>Serviços terceirizados</x:v>
      </x:c>
      <x:c r="G83" t="str">
        <x:v>Nexa Serviços</x:v>
      </x:c>
      <x:c r="H83" t="str">
        <x:v>DOC-25-05-010</x:v>
      </x:c>
      <x:c r="I83" s="8" t="n">
        <x:v>7186.8</x:v>
      </x:c>
      <x:c r="J83" t="str">
        <x:v>Confirmado</x:v>
      </x:c>
      <x:c r="K83" t="str">
        <x:v>Pagamento operacional</x:v>
      </x:c>
    </x:row>
    <x:row r="84" ht="21" customHeight="1">
      <x:c r="A84" t="str">
        <x:v>FIN-0083</x:v>
      </x:c>
      <x:c r="B84" s="10" t="n">
        <x:v>45790</x:v>
      </x:c>
      <x:c r="C84" t="n">
        <x:v>5</x:v>
      </x:c>
      <x:c r="D84" t="str">
        <x:v>Despesa</x:v>
      </x:c>
      <x:c r="E84" t="str">
        <x:v>RH</x:v>
      </x:c>
      <x:c r="F84" t="str">
        <x:v>Marketing</x:v>
      </x:c>
      <x:c r="G84" t="str">
        <x:v>Omega Telecom</x:v>
      </x:c>
      <x:c r="H84" t="str">
        <x:v>DOC-25-05-011</x:v>
      </x:c>
      <x:c r="I84" s="8" t="n">
        <x:v>9492.64</x:v>
      </x:c>
      <x:c r="J84" t="str">
        <x:v>Confirmado</x:v>
      </x:c>
      <x:c r="K84" t="str">
        <x:v>Pagamento operacional</x:v>
      </x:c>
    </x:row>
    <x:row r="85" ht="21" customHeight="1">
      <x:c r="A85" t="str">
        <x:v>FIN-0084</x:v>
      </x:c>
      <x:c r="B85" s="10" t="n">
        <x:v>45791</x:v>
      </x:c>
      <x:c r="C85" t="n">
        <x:v>5</x:v>
      </x:c>
      <x:c r="D85" t="str">
        <x:v>Despesa</x:v>
      </x:c>
      <x:c r="E85" t="str">
        <x:v>Marketing</x:v>
      </x:c>
      <x:c r="F85" t="str">
        <x:v>Telefonia</x:v>
      </x:c>
      <x:c r="G85" t="str">
        <x:v>Vértice Suprimentos</x:v>
      </x:c>
      <x:c r="H85" t="str">
        <x:v>DOC-25-05-012</x:v>
      </x:c>
      <x:c r="I85" s="8" t="n">
        <x:v>16785.78</x:v>
      </x:c>
      <x:c r="J85" t="str">
        <x:v>Confirmado</x:v>
      </x:c>
      <x:c r="K85" t="str">
        <x:v>Pagamento operacional</x:v>
      </x:c>
    </x:row>
    <x:row r="86" ht="21" customHeight="1">
      <x:c r="A86" t="str">
        <x:v>FIN-0085</x:v>
      </x:c>
      <x:c r="B86" s="10" t="n">
        <x:v>45792</x:v>
      </x:c>
      <x:c r="C86" t="n">
        <x:v>5</x:v>
      </x:c>
      <x:c r="D86" t="str">
        <x:v>Despesa</x:v>
      </x:c>
      <x:c r="E86" t="str">
        <x:v>Operações</x:v>
      </x:c>
      <x:c r="F86" t="str">
        <x:v>Energia</x:v>
      </x:c>
      <x:c r="G86" t="str">
        <x:v>Beta Facilities</x:v>
      </x:c>
      <x:c r="H86" t="str">
        <x:v>DOC-25-05-013</x:v>
      </x:c>
      <x:c r="I86" s="8" t="n">
        <x:v>17987.76</x:v>
      </x:c>
      <x:c r="J86" t="str">
        <x:v>Confirmado</x:v>
      </x:c>
      <x:c r="K86" t="str">
        <x:v>Pagamento operacional</x:v>
      </x:c>
    </x:row>
    <x:row r="87" ht="21" customHeight="1">
      <x:c r="A87" t="str">
        <x:v>FIN-0086</x:v>
      </x:c>
      <x:c r="B87" s="10" t="n">
        <x:v>45793</x:v>
      </x:c>
      <x:c r="C87" t="n">
        <x:v>5</x:v>
      </x:c>
      <x:c r="D87" t="str">
        <x:v>Despesa</x:v>
      </x:c>
      <x:c r="E87" t="str">
        <x:v>Comercial</x:v>
      </x:c>
      <x:c r="F87" t="str">
        <x:v>Manutenção</x:v>
      </x:c>
      <x:c r="G87" t="str">
        <x:v>Sigma Consultoria</x:v>
      </x:c>
      <x:c r="H87" t="str">
        <x:v>DOC-25-05-014</x:v>
      </x:c>
      <x:c r="I87" s="8" t="n">
        <x:v>10289.19</x:v>
      </x:c>
      <x:c r="J87" t="str">
        <x:v>Confirmado</x:v>
      </x:c>
      <x:c r="K87" t="str">
        <x:v>Pagamento operacional</x:v>
      </x:c>
    </x:row>
    <x:row r="88" ht="21" customHeight="1">
      <x:c r="A88" t="str">
        <x:v>FIN-0087</x:v>
      </x:c>
      <x:c r="B88" s="10" t="n">
        <x:v>45794</x:v>
      </x:c>
      <x:c r="C88" t="n">
        <x:v>5</x:v>
      </x:c>
      <x:c r="D88" t="str">
        <x:v>Despesa</x:v>
      </x:c>
      <x:c r="E88" t="str">
        <x:v>Logística</x:v>
      </x:c>
      <x:c r="F88" t="str">
        <x:v>Viagens</x:v>
      </x:c>
      <x:c r="G88" t="str">
        <x:v>Orion Datacenter</x:v>
      </x:c>
      <x:c r="H88" t="str">
        <x:v>DOC-25-05-015</x:v>
      </x:c>
      <x:c r="I88" s="8" t="n">
        <x:v>13960.67</x:v>
      </x:c>
      <x:c r="J88" t="str">
        <x:v>Confirmado</x:v>
      </x:c>
      <x:c r="K88" t="str">
        <x:v>Pagamento operacional</x:v>
      </x:c>
    </x:row>
    <x:row r="89" ht="21" customHeight="1">
      <x:c r="A89" t="str">
        <x:v>FIN-0088</x:v>
      </x:c>
      <x:c r="B89" s="10" t="n">
        <x:v>45795</x:v>
      </x:c>
      <x:c r="C89" t="n">
        <x:v>5</x:v>
      </x:c>
      <x:c r="D89" t="str">
        <x:v>Despesa</x:v>
      </x:c>
      <x:c r="E89" t="str">
        <x:v>Jurídico</x:v>
      </x:c>
      <x:c r="F89" t="str">
        <x:v>Consultoria</x:v>
      </x:c>
      <x:c r="G89" t="str">
        <x:v>Lumina Energia</x:v>
      </x:c>
      <x:c r="H89" t="str">
        <x:v>DOC-25-05-016</x:v>
      </x:c>
      <x:c r="I89" s="8" t="n">
        <x:v>13494.63</x:v>
      </x:c>
      <x:c r="J89" t="str">
        <x:v>Confirmado</x:v>
      </x:c>
      <x:c r="K89" t="str">
        <x:v>Pagamento operacional</x:v>
      </x:c>
    </x:row>
    <x:row r="90" ht="21" customHeight="1">
      <x:c r="A90" t="str">
        <x:v>FIN-0089</x:v>
      </x:c>
      <x:c r="B90" s="10" t="n">
        <x:v>45796</x:v>
      </x:c>
      <x:c r="C90" t="n">
        <x:v>5</x:v>
      </x:c>
      <x:c r="D90" t="str">
        <x:v>Despesa</x:v>
      </x:c>
      <x:c r="E90" t="str">
        <x:v>TI</x:v>
      </x:c>
      <x:c r="F90" t="str">
        <x:v>Licenças</x:v>
      </x:c>
      <x:c r="G90" t="str">
        <x:v>Atlas Software</x:v>
      </x:c>
      <x:c r="H90" t="str">
        <x:v>DOC-25-05-017</x:v>
      </x:c>
      <x:c r="I90" s="8" t="n">
        <x:v>29559.23</x:v>
      </x:c>
      <x:c r="J90" t="str">
        <x:v>Confirmado</x:v>
      </x:c>
      <x:c r="K90" t="str">
        <x:v>Pagamento operacional</x:v>
      </x:c>
    </x:row>
    <x:row r="91" ht="21" customHeight="1">
      <x:c r="A91" t="str">
        <x:v>FIN-0090</x:v>
      </x:c>
      <x:c r="B91" s="10" t="n">
        <x:v>45797</x:v>
      </x:c>
      <x:c r="C91" t="n">
        <x:v>5</x:v>
      </x:c>
      <x:c r="D91" t="str">
        <x:v>Despesa</x:v>
      </x:c>
      <x:c r="E91" t="str">
        <x:v>Financeiro</x:v>
      </x:c>
      <x:c r="F91" t="str">
        <x:v>Logística</x:v>
      </x:c>
      <x:c r="G91" t="str">
        <x:v>Ponte Digital</x:v>
      </x:c>
      <x:c r="H91" t="str">
        <x:v>DOC-25-05-018</x:v>
      </x:c>
      <x:c r="I91" s="8" t="n">
        <x:v>13588.28</x:v>
      </x:c>
      <x:c r="J91" t="str">
        <x:v>Confirmado</x:v>
      </x:c>
      <x:c r="K91" t="str">
        <x:v>Pagamento operacional</x:v>
      </x:c>
    </x:row>
    <x:row r="92" ht="21" customHeight="1">
      <x:c r="A92" t="str">
        <x:v>FIN-0091</x:v>
      </x:c>
      <x:c r="B92" s="10" t="n">
        <x:v>45811</x:v>
      </x:c>
      <x:c r="C92" t="n">
        <x:v>6</x:v>
      </x:c>
      <x:c r="D92" t="str">
        <x:v>Receita</x:v>
      </x:c>
      <x:c r="E92" t="str">
        <x:v>TI</x:v>
      </x:c>
      <x:c r="F92" t="str">
        <x:v>Venda de serviços</x:v>
      </x:c>
      <x:c r="G92" t="str">
        <x:v>Cliente 1</x:v>
      </x:c>
      <x:c r="H92" t="str">
        <x:v>DOC-25-06-001</x:v>
      </x:c>
      <x:c r="I92" s="8" t="n">
        <x:v>19563.44</x:v>
      </x:c>
      <x:c r="J92" t="str">
        <x:v>Confirmado</x:v>
      </x:c>
      <x:c r="K92" t="str">
        <x:v>Lançamento contábil</x:v>
      </x:c>
    </x:row>
    <x:row r="93" ht="21" customHeight="1">
      <x:c r="A93" t="str">
        <x:v>FIN-0092</x:v>
      </x:c>
      <x:c r="B93" s="10" t="n">
        <x:v>45812</x:v>
      </x:c>
      <x:c r="C93" t="n">
        <x:v>6</x:v>
      </x:c>
      <x:c r="D93" t="str">
        <x:v>Receita</x:v>
      </x:c>
      <x:c r="E93" t="str">
        <x:v>Financeiro</x:v>
      </x:c>
      <x:c r="F93" t="str">
        <x:v>Receita recorrente</x:v>
      </x:c>
      <x:c r="G93" t="str">
        <x:v>Cliente 2</x:v>
      </x:c>
      <x:c r="H93" t="str">
        <x:v>DOC-25-06-002</x:v>
      </x:c>
      <x:c r="I93" s="8" t="n">
        <x:v>21498.74</x:v>
      </x:c>
      <x:c r="J93" t="str">
        <x:v>Confirmado</x:v>
      </x:c>
      <x:c r="K93" t="str">
        <x:v>Lançamento contábil</x:v>
      </x:c>
    </x:row>
    <x:row r="94" ht="21" customHeight="1">
      <x:c r="A94" t="str">
        <x:v>FIN-0093</x:v>
      </x:c>
      <x:c r="B94" s="10" t="n">
        <x:v>45813</x:v>
      </x:c>
      <x:c r="C94" t="n">
        <x:v>6</x:v>
      </x:c>
      <x:c r="D94" t="str">
        <x:v>Receita</x:v>
      </x:c>
      <x:c r="E94" t="str">
        <x:v>RH</x:v>
      </x:c>
      <x:c r="F94" t="str">
        <x:v>Projetos</x:v>
      </x:c>
      <x:c r="G94" t="str">
        <x:v>Cliente 3</x:v>
      </x:c>
      <x:c r="H94" t="str">
        <x:v>DOC-25-06-003</x:v>
      </x:c>
      <x:c r="I94" s="8" t="n">
        <x:v>25258.29</x:v>
      </x:c>
      <x:c r="J94" t="str">
        <x:v>Confirmado</x:v>
      </x:c>
      <x:c r="K94" t="str">
        <x:v>Lançamento contábil</x:v>
      </x:c>
    </x:row>
    <x:row r="95" ht="21" customHeight="1">
      <x:c r="A95" t="str">
        <x:v>FIN-0094</x:v>
      </x:c>
      <x:c r="B95" s="10" t="n">
        <x:v>45814</x:v>
      </x:c>
      <x:c r="C95" t="n">
        <x:v>6</x:v>
      </x:c>
      <x:c r="D95" t="str">
        <x:v>Receita</x:v>
      </x:c>
      <x:c r="E95" t="str">
        <x:v>Marketing</x:v>
      </x:c>
      <x:c r="F95" t="str">
        <x:v>Licenciamento</x:v>
      </x:c>
      <x:c r="G95" t="str">
        <x:v>Cliente 4</x:v>
      </x:c>
      <x:c r="H95" t="str">
        <x:v>DOC-25-06-004</x:v>
      </x:c>
      <x:c r="I95" s="8" t="n">
        <x:v>29584.55</x:v>
      </x:c>
      <x:c r="J95" t="str">
        <x:v>Confirmado</x:v>
      </x:c>
      <x:c r="K95" t="str">
        <x:v>Lançamento contábil</x:v>
      </x:c>
    </x:row>
    <x:row r="96" ht="21" customHeight="1">
      <x:c r="A96" t="str">
        <x:v>FIN-0095</x:v>
      </x:c>
      <x:c r="B96" s="10" t="n">
        <x:v>45815</x:v>
      </x:c>
      <x:c r="C96" t="n">
        <x:v>6</x:v>
      </x:c>
      <x:c r="D96" t="str">
        <x:v>Receita</x:v>
      </x:c>
      <x:c r="E96" t="str">
        <x:v>Operações</x:v>
      </x:c>
      <x:c r="F96" t="str">
        <x:v>Serviços gerenciados</x:v>
      </x:c>
      <x:c r="G96" t="str">
        <x:v>Cliente 5</x:v>
      </x:c>
      <x:c r="H96" t="str">
        <x:v>DOC-25-06-005</x:v>
      </x:c>
      <x:c r="I96" s="8" t="n">
        <x:v>32373.67</x:v>
      </x:c>
      <x:c r="J96" t="str">
        <x:v>Confirmado</x:v>
      </x:c>
      <x:c r="K96" t="str">
        <x:v>Lançamento contábil</x:v>
      </x:c>
    </x:row>
    <x:row r="97" ht="21" customHeight="1">
      <x:c r="A97" t="str">
        <x:v>FIN-0096</x:v>
      </x:c>
      <x:c r="B97" s="10" t="n">
        <x:v>45816</x:v>
      </x:c>
      <x:c r="C97" t="n">
        <x:v>6</x:v>
      </x:c>
      <x:c r="D97" t="str">
        <x:v>Receita</x:v>
      </x:c>
      <x:c r="E97" t="str">
        <x:v>Comercial</x:v>
      </x:c>
      <x:c r="F97" t="str">
        <x:v>Treinamentos</x:v>
      </x:c>
      <x:c r="G97" t="str">
        <x:v>Cliente 6</x:v>
      </x:c>
      <x:c r="H97" t="str">
        <x:v>DOC-25-06-006</x:v>
      </x:c>
      <x:c r="I97" s="8" t="n">
        <x:v>28585.47</x:v>
      </x:c>
      <x:c r="J97" t="str">
        <x:v>Confirmado</x:v>
      </x:c>
      <x:c r="K97" t="str">
        <x:v>Lançamento contábil</x:v>
      </x:c>
    </x:row>
    <x:row r="98" ht="21" customHeight="1">
      <x:c r="A98" t="str">
        <x:v>FIN-0097</x:v>
      </x:c>
      <x:c r="B98" s="10" t="n">
        <x:v>45817</x:v>
      </x:c>
      <x:c r="C98" t="n">
        <x:v>6</x:v>
      </x:c>
      <x:c r="D98" t="str">
        <x:v>Despesa</x:v>
      </x:c>
      <x:c r="E98" t="str">
        <x:v>Logística</x:v>
      </x:c>
      <x:c r="F98" t="str">
        <x:v>Cloud</x:v>
      </x:c>
      <x:c r="G98" t="str">
        <x:v>Alfa Tecnologia</x:v>
      </x:c>
      <x:c r="H98" t="str">
        <x:v>DOC-25-06-007</x:v>
      </x:c>
      <x:c r="I98" s="8" t="n">
        <x:v>4632.84</x:v>
      </x:c>
      <x:c r="J98" t="str">
        <x:v>Confirmado</x:v>
      </x:c>
      <x:c r="K98" t="str">
        <x:v>Pagamento operacional</x:v>
      </x:c>
    </x:row>
    <x:row r="99" ht="21" customHeight="1">
      <x:c r="A99" t="str">
        <x:v>FIN-0098</x:v>
      </x:c>
      <x:c r="B99" s="10" t="n">
        <x:v>45818</x:v>
      </x:c>
      <x:c r="C99" t="n">
        <x:v>6</x:v>
      </x:c>
      <x:c r="D99" t="str">
        <x:v>Despesa</x:v>
      </x:c>
      <x:c r="E99" t="str">
        <x:v>Jurídico</x:v>
      </x:c>
      <x:c r="F99" t="str">
        <x:v>Hardware</x:v>
      </x:c>
      <x:c r="G99" t="str">
        <x:v>Delta Cloud</x:v>
      </x:c>
      <x:c r="H99" t="str">
        <x:v>DOC-25-06-008</x:v>
      </x:c>
      <x:c r="I99" s="8" t="n">
        <x:v>5397.57</x:v>
      </x:c>
      <x:c r="J99" t="str">
        <x:v>Confirmado</x:v>
      </x:c>
      <x:c r="K99" t="str">
        <x:v>Pagamento operacional</x:v>
      </x:c>
    </x:row>
    <x:row r="100" ht="21" customHeight="1">
      <x:c r="A100" t="str">
        <x:v>FIN-0099</x:v>
      </x:c>
      <x:c r="B100" s="10" t="n">
        <x:v>45819</x:v>
      </x:c>
      <x:c r="C100" t="n">
        <x:v>6</x:v>
      </x:c>
      <x:c r="D100" t="str">
        <x:v>Despesa</x:v>
      </x:c>
      <x:c r="E100" t="str">
        <x:v>TI</x:v>
      </x:c>
      <x:c r="F100" t="str">
        <x:v>Software</x:v>
      </x:c>
      <x:c r="G100" t="str">
        <x:v>Nexa Serviços</x:v>
      </x:c>
      <x:c r="H100" t="str">
        <x:v>DOC-25-06-009</x:v>
      </x:c>
      <x:c r="I100" s="8" t="n">
        <x:v>12921.75</x:v>
      </x:c>
      <x:c r="J100" t="str">
        <x:v>Confirmado</x:v>
      </x:c>
      <x:c r="K100" t="str">
        <x:v>Pagamento operacional</x:v>
      </x:c>
    </x:row>
    <x:row r="101" ht="21" customHeight="1">
      <x:c r="A101" t="str">
        <x:v>FIN-0100</x:v>
      </x:c>
      <x:c r="B101" s="10" t="n">
        <x:v>45820</x:v>
      </x:c>
      <x:c r="C101" t="n">
        <x:v>6</x:v>
      </x:c>
      <x:c r="D101" t="str">
        <x:v>Despesa</x:v>
      </x:c>
      <x:c r="E101" t="str">
        <x:v>Financeiro</x:v>
      </x:c>
      <x:c r="F101" t="str">
        <x:v>Serviços terceirizados</x:v>
      </x:c>
      <x:c r="G101" t="str">
        <x:v>Omega Telecom</x:v>
      </x:c>
      <x:c r="H101" t="str">
        <x:v>DOC-25-06-010</x:v>
      </x:c>
      <x:c r="I101" s="8" t="n">
        <x:v>8389.67</x:v>
      </x:c>
      <x:c r="J101" t="str">
        <x:v>Confirmado</x:v>
      </x:c>
      <x:c r="K101" t="str">
        <x:v>Pagamento operacional</x:v>
      </x:c>
    </x:row>
    <x:row r="102" ht="21" customHeight="1">
      <x:c r="A102" t="str">
        <x:v>FIN-0101</x:v>
      </x:c>
      <x:c r="B102" s="10" t="n">
        <x:v>45821</x:v>
      </x:c>
      <x:c r="C102" t="n">
        <x:v>6</x:v>
      </x:c>
      <x:c r="D102" t="str">
        <x:v>Despesa</x:v>
      </x:c>
      <x:c r="E102" t="str">
        <x:v>RH</x:v>
      </x:c>
      <x:c r="F102" t="str">
        <x:v>Marketing</x:v>
      </x:c>
      <x:c r="G102" t="str">
        <x:v>Vértice Suprimentos</x:v>
      </x:c>
      <x:c r="H102" t="str">
        <x:v>DOC-25-06-011</x:v>
      </x:c>
      <x:c r="I102" s="8" t="n">
        <x:v>7988.84</x:v>
      </x:c>
      <x:c r="J102" t="str">
        <x:v>Confirmado</x:v>
      </x:c>
      <x:c r="K102" t="str">
        <x:v>Pagamento operacional</x:v>
      </x:c>
    </x:row>
    <x:row r="103" ht="21" customHeight="1">
      <x:c r="A103" t="str">
        <x:v>FIN-0102</x:v>
      </x:c>
      <x:c r="B103" s="10" t="n">
        <x:v>45822</x:v>
      </x:c>
      <x:c r="C103" t="n">
        <x:v>6</x:v>
      </x:c>
      <x:c r="D103" t="str">
        <x:v>Despesa</x:v>
      </x:c>
      <x:c r="E103" t="str">
        <x:v>Marketing</x:v>
      </x:c>
      <x:c r="F103" t="str">
        <x:v>Telefonia</x:v>
      </x:c>
      <x:c r="G103" t="str">
        <x:v>Beta Facilities</x:v>
      </x:c>
      <x:c r="H103" t="str">
        <x:v>DOC-25-06-012</x:v>
      </x:c>
      <x:c r="I103" s="8" t="n">
        <x:v>17829.47</x:v>
      </x:c>
      <x:c r="J103" t="str">
        <x:v>Confirmado</x:v>
      </x:c>
      <x:c r="K103" t="str">
        <x:v>Pagamento operacional</x:v>
      </x:c>
    </x:row>
    <x:row r="104" ht="21" customHeight="1">
      <x:c r="A104" t="str">
        <x:v>FIN-0103</x:v>
      </x:c>
      <x:c r="B104" s="10" t="n">
        <x:v>45823</x:v>
      </x:c>
      <x:c r="C104" t="n">
        <x:v>6</x:v>
      </x:c>
      <x:c r="D104" t="str">
        <x:v>Despesa</x:v>
      </x:c>
      <x:c r="E104" t="str">
        <x:v>Operações</x:v>
      </x:c>
      <x:c r="F104" t="str">
        <x:v>Energia</x:v>
      </x:c>
      <x:c r="G104" t="str">
        <x:v>Sigma Consultoria</x:v>
      </x:c>
      <x:c r="H104" t="str">
        <x:v>DOC-25-06-013</x:v>
      </x:c>
      <x:c r="I104" s="8" t="n">
        <x:v>22312.76</x:v>
      </x:c>
      <x:c r="J104" t="str">
        <x:v>Confirmado</x:v>
      </x:c>
      <x:c r="K104" t="str">
        <x:v>Pagamento operacional</x:v>
      </x:c>
    </x:row>
    <x:row r="105" ht="21" customHeight="1">
      <x:c r="A105" t="str">
        <x:v>FIN-0104</x:v>
      </x:c>
      <x:c r="B105" s="10" t="n">
        <x:v>45824</x:v>
      </x:c>
      <x:c r="C105" t="n">
        <x:v>6</x:v>
      </x:c>
      <x:c r="D105" t="str">
        <x:v>Despesa</x:v>
      </x:c>
      <x:c r="E105" t="str">
        <x:v>Comercial</x:v>
      </x:c>
      <x:c r="F105" t="str">
        <x:v>Manutenção</x:v>
      </x:c>
      <x:c r="G105" t="str">
        <x:v>Orion Datacenter</x:v>
      </x:c>
      <x:c r="H105" t="str">
        <x:v>DOC-25-06-014</x:v>
      </x:c>
      <x:c r="I105" s="8" t="n">
        <x:v>10722.98</x:v>
      </x:c>
      <x:c r="J105" t="str">
        <x:v>Confirmado</x:v>
      </x:c>
      <x:c r="K105" t="str">
        <x:v>Pagamento operacional</x:v>
      </x:c>
    </x:row>
    <x:row r="106" ht="21" customHeight="1">
      <x:c r="A106" t="str">
        <x:v>FIN-0105</x:v>
      </x:c>
      <x:c r="B106" s="10" t="n">
        <x:v>45825</x:v>
      </x:c>
      <x:c r="C106" t="n">
        <x:v>6</x:v>
      </x:c>
      <x:c r="D106" t="str">
        <x:v>Despesa</x:v>
      </x:c>
      <x:c r="E106" t="str">
        <x:v>Logística</x:v>
      </x:c>
      <x:c r="F106" t="str">
        <x:v>Viagens</x:v>
      </x:c>
      <x:c r="G106" t="str">
        <x:v>Lumina Energia</x:v>
      </x:c>
      <x:c r="H106" t="str">
        <x:v>DOC-25-06-015</x:v>
      </x:c>
      <x:c r="I106" s="8" t="n">
        <x:v>12240.47</x:v>
      </x:c>
      <x:c r="J106" t="str">
        <x:v>Confirmado</x:v>
      </x:c>
      <x:c r="K106" t="str">
        <x:v>Pagamento operacional</x:v>
      </x:c>
    </x:row>
    <x:row r="107" ht="21" customHeight="1">
      <x:c r="A107" t="str">
        <x:v>FIN-0106</x:v>
      </x:c>
      <x:c r="B107" s="10" t="n">
        <x:v>45826</x:v>
      </x:c>
      <x:c r="C107" t="n">
        <x:v>6</x:v>
      </x:c>
      <x:c r="D107" t="str">
        <x:v>Despesa</x:v>
      </x:c>
      <x:c r="E107" t="str">
        <x:v>Jurídico</x:v>
      </x:c>
      <x:c r="F107" t="str">
        <x:v>Consultoria</x:v>
      </x:c>
      <x:c r="G107" t="str">
        <x:v>Atlas Software</x:v>
      </x:c>
      <x:c r="H107" t="str">
        <x:v>DOC-25-06-016</x:v>
      </x:c>
      <x:c r="I107" s="8" t="n">
        <x:v>12371.92</x:v>
      </x:c>
      <x:c r="J107" t="str">
        <x:v>Confirmado</x:v>
      </x:c>
      <x:c r="K107" t="str">
        <x:v>Pagamento operacional</x:v>
      </x:c>
    </x:row>
    <x:row r="108" ht="21" customHeight="1">
      <x:c r="A108" t="str">
        <x:v>FIN-0107</x:v>
      </x:c>
      <x:c r="B108" s="10" t="n">
        <x:v>45827</x:v>
      </x:c>
      <x:c r="C108" t="n">
        <x:v>6</x:v>
      </x:c>
      <x:c r="D108" t="str">
        <x:v>Despesa</x:v>
      </x:c>
      <x:c r="E108" t="str">
        <x:v>TI</x:v>
      </x:c>
      <x:c r="F108" t="str">
        <x:v>Licenças</x:v>
      </x:c>
      <x:c r="G108" t="str">
        <x:v>Ponte Digital</x:v>
      </x:c>
      <x:c r="H108" t="str">
        <x:v>DOC-25-06-017</x:v>
      </x:c>
      <x:c r="I108" s="8" t="n">
        <x:v>29217.88</x:v>
      </x:c>
      <x:c r="J108" t="str">
        <x:v>Confirmado</x:v>
      </x:c>
      <x:c r="K108" t="str">
        <x:v>Pagamento operacional</x:v>
      </x:c>
    </x:row>
    <x:row r="109" ht="21" customHeight="1">
      <x:c r="A109" t="str">
        <x:v>FIN-0108</x:v>
      </x:c>
      <x:c r="B109" s="10" t="n">
        <x:v>45828</x:v>
      </x:c>
      <x:c r="C109" t="n">
        <x:v>6</x:v>
      </x:c>
      <x:c r="D109" t="str">
        <x:v>Despesa</x:v>
      </x:c>
      <x:c r="E109" t="str">
        <x:v>Financeiro</x:v>
      </x:c>
      <x:c r="F109" t="str">
        <x:v>Logística</x:v>
      </x:c>
      <x:c r="G109" t="str">
        <x:v>Solidez Infra</x:v>
      </x:c>
      <x:c r="H109" t="str">
        <x:v>DOC-25-06-018</x:v>
      </x:c>
      <x:c r="I109" s="8" t="n">
        <x:v>15297.52</x:v>
      </x:c>
      <x:c r="J109" t="str">
        <x:v>Confirmado</x:v>
      </x:c>
      <x:c r="K109" t="str">
        <x:v>Pagamento operacional</x:v>
      </x:c>
    </x:row>
    <x:row r="110" ht="21" customHeight="1">
      <x:c r="A110" t="str">
        <x:v>FIN-0109</x:v>
      </x:c>
      <x:c r="B110" s="10" t="n">
        <x:v>45841</x:v>
      </x:c>
      <x:c r="C110" t="n">
        <x:v>7</x:v>
      </x:c>
      <x:c r="D110" t="str">
        <x:v>Receita</x:v>
      </x:c>
      <x:c r="E110" t="str">
        <x:v>TI</x:v>
      </x:c>
      <x:c r="F110" t="str">
        <x:v>Venda de serviços</x:v>
      </x:c>
      <x:c r="G110" t="str">
        <x:v>Cliente 1</x:v>
      </x:c>
      <x:c r="H110" t="str">
        <x:v>DOC-25-07-001</x:v>
      </x:c>
      <x:c r="I110" s="8" t="n">
        <x:v>19962.81</x:v>
      </x:c>
      <x:c r="J110" t="str">
        <x:v>Confirmado</x:v>
      </x:c>
      <x:c r="K110" t="str">
        <x:v>Lançamento contábil</x:v>
      </x:c>
    </x:row>
    <x:row r="111" ht="21" customHeight="1">
      <x:c r="A111" t="str">
        <x:v>FIN-0110</x:v>
      </x:c>
      <x:c r="B111" s="10" t="n">
        <x:v>45842</x:v>
      </x:c>
      <x:c r="C111" t="n">
        <x:v>7</x:v>
      </x:c>
      <x:c r="D111" t="str">
        <x:v>Receita</x:v>
      </x:c>
      <x:c r="E111" t="str">
        <x:v>Financeiro</x:v>
      </x:c>
      <x:c r="F111" t="str">
        <x:v>Receita recorrente</x:v>
      </x:c>
      <x:c r="G111" t="str">
        <x:v>Cliente 2</x:v>
      </x:c>
      <x:c r="H111" t="str">
        <x:v>DOC-25-07-002</x:v>
      </x:c>
      <x:c r="I111" s="8" t="n">
        <x:v>23374</x:v>
      </x:c>
      <x:c r="J111" t="str">
        <x:v>Confirmado</x:v>
      </x:c>
      <x:c r="K111" t="str">
        <x:v>Lançamento contábil</x:v>
      </x:c>
    </x:row>
    <x:row r="112" ht="21" customHeight="1">
      <x:c r="A112" t="str">
        <x:v>FIN-0111</x:v>
      </x:c>
      <x:c r="B112" s="10" t="n">
        <x:v>45843</x:v>
      </x:c>
      <x:c r="C112" t="n">
        <x:v>7</x:v>
      </x:c>
      <x:c r="D112" t="str">
        <x:v>Receita</x:v>
      </x:c>
      <x:c r="E112" t="str">
        <x:v>RH</x:v>
      </x:c>
      <x:c r="F112" t="str">
        <x:v>Projetos</x:v>
      </x:c>
      <x:c r="G112" t="str">
        <x:v>Cliente 3</x:v>
      </x:c>
      <x:c r="H112" t="str">
        <x:v>DOC-25-07-003</x:v>
      </x:c>
      <x:c r="I112" s="8" t="n">
        <x:v>25179.58</x:v>
      </x:c>
      <x:c r="J112" t="str">
        <x:v>Confirmado</x:v>
      </x:c>
      <x:c r="K112" t="str">
        <x:v>Lançamento contábil</x:v>
      </x:c>
    </x:row>
    <x:row r="113" ht="21" customHeight="1">
      <x:c r="A113" t="str">
        <x:v>FIN-0112</x:v>
      </x:c>
      <x:c r="B113" s="10" t="n">
        <x:v>45844</x:v>
      </x:c>
      <x:c r="C113" t="n">
        <x:v>7</x:v>
      </x:c>
      <x:c r="D113" t="str">
        <x:v>Receita</x:v>
      </x:c>
      <x:c r="E113" t="str">
        <x:v>Marketing</x:v>
      </x:c>
      <x:c r="F113" t="str">
        <x:v>Licenciamento</x:v>
      </x:c>
      <x:c r="G113" t="str">
        <x:v>Cliente 4</x:v>
      </x:c>
      <x:c r="H113" t="str">
        <x:v>DOC-25-07-004</x:v>
      </x:c>
      <x:c r="I113" s="8" t="n">
        <x:v>27405.26</x:v>
      </x:c>
      <x:c r="J113" t="str">
        <x:v>Confirmado</x:v>
      </x:c>
      <x:c r="K113" t="str">
        <x:v>Lançamento contábil</x:v>
      </x:c>
    </x:row>
    <x:row r="114" ht="21" customHeight="1">
      <x:c r="A114" t="str">
        <x:v>FIN-0113</x:v>
      </x:c>
      <x:c r="B114" s="10" t="n">
        <x:v>45845</x:v>
      </x:c>
      <x:c r="C114" t="n">
        <x:v>7</x:v>
      </x:c>
      <x:c r="D114" t="str">
        <x:v>Receita</x:v>
      </x:c>
      <x:c r="E114" t="str">
        <x:v>Operações</x:v>
      </x:c>
      <x:c r="F114" t="str">
        <x:v>Serviços gerenciados</x:v>
      </x:c>
      <x:c r="G114" t="str">
        <x:v>Cliente 5</x:v>
      </x:c>
      <x:c r="H114" t="str">
        <x:v>DOC-25-07-005</x:v>
      </x:c>
      <x:c r="I114" s="8" t="n">
        <x:v>31866.72</x:v>
      </x:c>
      <x:c r="J114" t="str">
        <x:v>Confirmado</x:v>
      </x:c>
      <x:c r="K114" t="str">
        <x:v>Lançamento contábil</x:v>
      </x:c>
    </x:row>
    <x:row r="115" ht="21" customHeight="1">
      <x:c r="A115" t="str">
        <x:v>FIN-0114</x:v>
      </x:c>
      <x:c r="B115" s="10" t="n">
        <x:v>45846</x:v>
      </x:c>
      <x:c r="C115" t="n">
        <x:v>7</x:v>
      </x:c>
      <x:c r="D115" t="str">
        <x:v>Receita</x:v>
      </x:c>
      <x:c r="E115" t="str">
        <x:v>Comercial</x:v>
      </x:c>
      <x:c r="F115" t="str">
        <x:v>Treinamentos</x:v>
      </x:c>
      <x:c r="G115" t="str">
        <x:v>Cliente 6</x:v>
      </x:c>
      <x:c r="H115" t="str">
        <x:v>DOC-25-07-006</x:v>
      </x:c>
      <x:c r="I115" s="8" t="n">
        <x:v>33055.96</x:v>
      </x:c>
      <x:c r="J115" t="str">
        <x:v>Confirmado</x:v>
      </x:c>
      <x:c r="K115" t="str">
        <x:v>Lançamento contábil</x:v>
      </x:c>
    </x:row>
    <x:row r="116" ht="21" customHeight="1">
      <x:c r="A116" t="str">
        <x:v>FIN-0115</x:v>
      </x:c>
      <x:c r="B116" s="10" t="n">
        <x:v>45847</x:v>
      </x:c>
      <x:c r="C116" t="n">
        <x:v>7</x:v>
      </x:c>
      <x:c r="D116" t="str">
        <x:v>Despesa</x:v>
      </x:c>
      <x:c r="E116" t="str">
        <x:v>Logística</x:v>
      </x:c>
      <x:c r="F116" t="str">
        <x:v>Cloud</x:v>
      </x:c>
      <x:c r="G116" t="str">
        <x:v>Delta Cloud</x:v>
      </x:c>
      <x:c r="H116" t="str">
        <x:v>DOC-25-07-007</x:v>
      </x:c>
      <x:c r="I116" s="8" t="n">
        <x:v>4948.96</x:v>
      </x:c>
      <x:c r="J116" t="str">
        <x:v>Confirmado</x:v>
      </x:c>
      <x:c r="K116" t="str">
        <x:v>Pagamento operacional</x:v>
      </x:c>
    </x:row>
    <x:row r="117" ht="21" customHeight="1">
      <x:c r="A117" t="str">
        <x:v>FIN-0116</x:v>
      </x:c>
      <x:c r="B117" s="10" t="n">
        <x:v>45848</x:v>
      </x:c>
      <x:c r="C117" t="n">
        <x:v>7</x:v>
      </x:c>
      <x:c r="D117" t="str">
        <x:v>Despesa</x:v>
      </x:c>
      <x:c r="E117" t="str">
        <x:v>Jurídico</x:v>
      </x:c>
      <x:c r="F117" t="str">
        <x:v>Hardware</x:v>
      </x:c>
      <x:c r="G117" t="str">
        <x:v>Nexa Serviços</x:v>
      </x:c>
      <x:c r="H117" t="str">
        <x:v>DOC-25-07-008</x:v>
      </x:c>
      <x:c r="I117" s="8" t="n">
        <x:v>5969.21</x:v>
      </x:c>
      <x:c r="J117" t="str">
        <x:v>Confirmado</x:v>
      </x:c>
      <x:c r="K117" t="str">
        <x:v>Pagamento operacional</x:v>
      </x:c>
    </x:row>
    <x:row r="118" ht="21" customHeight="1">
      <x:c r="A118" t="str">
        <x:v>FIN-0117</x:v>
      </x:c>
      <x:c r="B118" s="10" t="n">
        <x:v>45849</x:v>
      </x:c>
      <x:c r="C118" t="n">
        <x:v>7</x:v>
      </x:c>
      <x:c r="D118" t="str">
        <x:v>Despesa</x:v>
      </x:c>
      <x:c r="E118" t="str">
        <x:v>TI</x:v>
      </x:c>
      <x:c r="F118" t="str">
        <x:v>Software</x:v>
      </x:c>
      <x:c r="G118" t="str">
        <x:v>Omega Telecom</x:v>
      </x:c>
      <x:c r="H118" t="str">
        <x:v>DOC-25-07-009</x:v>
      </x:c>
      <x:c r="I118" s="8" t="n">
        <x:v>6465.48</x:v>
      </x:c>
      <x:c r="J118" t="str">
        <x:v>Confirmado</x:v>
      </x:c>
      <x:c r="K118" t="str">
        <x:v>Pagamento operacional</x:v>
      </x:c>
    </x:row>
    <x:row r="119" ht="21" customHeight="1">
      <x:c r="A119" t="str">
        <x:v>FIN-0118</x:v>
      </x:c>
      <x:c r="B119" s="10" t="n">
        <x:v>45850</x:v>
      </x:c>
      <x:c r="C119" t="n">
        <x:v>7</x:v>
      </x:c>
      <x:c r="D119" t="str">
        <x:v>Despesa</x:v>
      </x:c>
      <x:c r="E119" t="str">
        <x:v>Financeiro</x:v>
      </x:c>
      <x:c r="F119" t="str">
        <x:v>Serviços terceirizados</x:v>
      </x:c>
      <x:c r="G119" t="str">
        <x:v>Vértice Suprimentos</x:v>
      </x:c>
      <x:c r="H119" t="str">
        <x:v>DOC-25-07-010</x:v>
      </x:c>
      <x:c r="I119" s="8" t="n">
        <x:v>7656.97</x:v>
      </x:c>
      <x:c r="J119" t="str">
        <x:v>Confirmado</x:v>
      </x:c>
      <x:c r="K119" t="str">
        <x:v>Pagamento operacional</x:v>
      </x:c>
    </x:row>
    <x:row r="120" ht="21" customHeight="1">
      <x:c r="A120" t="str">
        <x:v>FIN-0119</x:v>
      </x:c>
      <x:c r="B120" s="10" t="n">
        <x:v>45851</x:v>
      </x:c>
      <x:c r="C120" t="n">
        <x:v>7</x:v>
      </x:c>
      <x:c r="D120" t="str">
        <x:v>Despesa</x:v>
      </x:c>
      <x:c r="E120" t="str">
        <x:v>RH</x:v>
      </x:c>
      <x:c r="F120" t="str">
        <x:v>Marketing</x:v>
      </x:c>
      <x:c r="G120" t="str">
        <x:v>Beta Facilities</x:v>
      </x:c>
      <x:c r="H120" t="str">
        <x:v>DOC-25-07-011</x:v>
      </x:c>
      <x:c r="I120" s="8" t="n">
        <x:v>9606.49</x:v>
      </x:c>
      <x:c r="J120" t="str">
        <x:v>Confirmado</x:v>
      </x:c>
      <x:c r="K120" t="str">
        <x:v>Pagamento operacional</x:v>
      </x:c>
    </x:row>
    <x:row r="121" ht="21" customHeight="1">
      <x:c r="A121" t="str">
        <x:v>FIN-0120</x:v>
      </x:c>
      <x:c r="B121" s="10" t="n">
        <x:v>45852</x:v>
      </x:c>
      <x:c r="C121" t="n">
        <x:v>7</x:v>
      </x:c>
      <x:c r="D121" t="str">
        <x:v>Despesa</x:v>
      </x:c>
      <x:c r="E121" t="str">
        <x:v>Marketing</x:v>
      </x:c>
      <x:c r="F121" t="str">
        <x:v>Telefonia</x:v>
      </x:c>
      <x:c r="G121" t="str">
        <x:v>Sigma Consultoria</x:v>
      </x:c>
      <x:c r="H121" t="str">
        <x:v>DOC-25-07-012</x:v>
      </x:c>
      <x:c r="I121" s="8" t="n">
        <x:v>9315.76</x:v>
      </x:c>
      <x:c r="J121" t="str">
        <x:v>Confirmado</x:v>
      </x:c>
      <x:c r="K121" t="str">
        <x:v>Pagamento operacional</x:v>
      </x:c>
    </x:row>
    <x:row r="122" ht="21" customHeight="1">
      <x:c r="A122" t="str">
        <x:v>FIN-0121</x:v>
      </x:c>
      <x:c r="B122" s="10" t="n">
        <x:v>45853</x:v>
      </x:c>
      <x:c r="C122" t="n">
        <x:v>7</x:v>
      </x:c>
      <x:c r="D122" t="str">
        <x:v>Despesa</x:v>
      </x:c>
      <x:c r="E122" t="str">
        <x:v>Operações</x:v>
      </x:c>
      <x:c r="F122" t="str">
        <x:v>Energia</x:v>
      </x:c>
      <x:c r="G122" t="str">
        <x:v>Orion Datacenter</x:v>
      </x:c>
      <x:c r="H122" t="str">
        <x:v>NF-2025-77881</x:v>
      </x:c>
      <x:c r="I122" s="8" t="n">
        <x:v>12980</x:v>
      </x:c>
      <x:c r="J122" t="str">
        <x:v>Confirmado</x:v>
      </x:c>
      <x:c r="K122" t="str">
        <x:v>Pagamento operacional</x:v>
      </x:c>
    </x:row>
    <x:row r="123" ht="21" customHeight="1">
      <x:c r="A123" t="str">
        <x:v>FIN-0122</x:v>
      </x:c>
      <x:c r="B123" s="10" t="n">
        <x:v>45854</x:v>
      </x:c>
      <x:c r="C123" t="n">
        <x:v>7</x:v>
      </x:c>
      <x:c r="D123" t="str">
        <x:v>Despesa</x:v>
      </x:c>
      <x:c r="E123" t="str">
        <x:v>Comercial</x:v>
      </x:c>
      <x:c r="F123" t="str">
        <x:v>Manutenção</x:v>
      </x:c>
      <x:c r="G123" t="str">
        <x:v>Lumina Energia</x:v>
      </x:c>
      <x:c r="H123" t="str">
        <x:v>NF-2025-77881</x:v>
      </x:c>
      <x:c r="I123" s="8" t="n">
        <x:v>12980</x:v>
      </x:c>
      <x:c r="J123" t="str">
        <x:v>Confirmado</x:v>
      </x:c>
      <x:c r="K123" t="str">
        <x:v>Pagamento operacional</x:v>
      </x:c>
    </x:row>
    <x:row r="124" ht="21" customHeight="1">
      <x:c r="A124" t="str">
        <x:v>FIN-0123</x:v>
      </x:c>
      <x:c r="B124" s="10" t="n">
        <x:v>45855</x:v>
      </x:c>
      <x:c r="C124" t="n">
        <x:v>7</x:v>
      </x:c>
      <x:c r="D124" t="str">
        <x:v>Despesa</x:v>
      </x:c>
      <x:c r="E124" t="str">
        <x:v>Logística</x:v>
      </x:c>
      <x:c r="F124" t="str">
        <x:v>Viagens</x:v>
      </x:c>
      <x:c r="G124" t="str">
        <x:v>Atlas Software</x:v>
      </x:c>
      <x:c r="H124" t="str">
        <x:v>DOC-25-07-015</x:v>
      </x:c>
      <x:c r="I124" s="8" t="n">
        <x:v>12402.02</x:v>
      </x:c>
      <x:c r="J124" t="str">
        <x:v>Confirmado</x:v>
      </x:c>
      <x:c r="K124" t="str">
        <x:v>Pagamento operacional</x:v>
      </x:c>
    </x:row>
    <x:row r="125" ht="21" customHeight="1">
      <x:c r="A125" t="str">
        <x:v>FIN-0124</x:v>
      </x:c>
      <x:c r="B125" s="10" t="n">
        <x:v>45856</x:v>
      </x:c>
      <x:c r="C125" t="n">
        <x:v>7</x:v>
      </x:c>
      <x:c r="D125" t="str">
        <x:v>Despesa</x:v>
      </x:c>
      <x:c r="E125" t="str">
        <x:v>Jurídico</x:v>
      </x:c>
      <x:c r="F125" t="str">
        <x:v>Consultoria</x:v>
      </x:c>
      <x:c r="G125" t="str">
        <x:v>Ponte Digital</x:v>
      </x:c>
      <x:c r="H125" t="str">
        <x:v>DOC-25-07-016</x:v>
      </x:c>
      <x:c r="I125" s="8" t="n">
        <x:v>13836.94</x:v>
      </x:c>
      <x:c r="J125" t="str">
        <x:v>Confirmado</x:v>
      </x:c>
      <x:c r="K125" t="str">
        <x:v>Pagamento operacional</x:v>
      </x:c>
    </x:row>
    <x:row r="126" ht="21" customHeight="1">
      <x:c r="A126" t="str">
        <x:v>FIN-0125</x:v>
      </x:c>
      <x:c r="B126" s="10" t="n">
        <x:v>45857</x:v>
      </x:c>
      <x:c r="C126" t="n">
        <x:v>7</x:v>
      </x:c>
      <x:c r="D126" t="str">
        <x:v>Despesa</x:v>
      </x:c>
      <x:c r="E126" t="str">
        <x:v>TI</x:v>
      </x:c>
      <x:c r="F126" t="str">
        <x:v>Licenças</x:v>
      </x:c>
      <x:c r="G126" t="str">
        <x:v>Solidez Infra</x:v>
      </x:c>
      <x:c r="H126" t="str">
        <x:v>DOC-25-07-017</x:v>
      </x:c>
      <x:c r="I126" s="8" t="n">
        <x:v>14684.97</x:v>
      </x:c>
      <x:c r="J126" t="str">
        <x:v>Confirmado</x:v>
      </x:c>
      <x:c r="K126" t="str">
        <x:v>Pagamento operacional</x:v>
      </x:c>
    </x:row>
    <x:row r="127" ht="21" customHeight="1">
      <x:c r="A127" t="str">
        <x:v>FIN-0126</x:v>
      </x:c>
      <x:c r="B127" s="10" t="n">
        <x:v>45858</x:v>
      </x:c>
      <x:c r="C127" t="n">
        <x:v>7</x:v>
      </x:c>
      <x:c r="D127" t="str">
        <x:v>Despesa</x:v>
      </x:c>
      <x:c r="E127" t="str">
        <x:v>Financeiro</x:v>
      </x:c>
      <x:c r="F127" t="str">
        <x:v>Logística</x:v>
      </x:c>
      <x:c r="G127" t="str">
        <x:v>Alfa Tecnologia</x:v>
      </x:c>
      <x:c r="H127" t="str">
        <x:v>DOC-25-07-018</x:v>
      </x:c>
      <x:c r="I127" s="8" t="n">
        <x:v>17886.94</x:v>
      </x:c>
      <x:c r="J127" t="str">
        <x:v>Confirmado</x:v>
      </x:c>
      <x:c r="K127" t="str">
        <x:v>Pagamento operacional</x:v>
      </x:c>
    </x:row>
    <x:row r="128" ht="21" customHeight="1">
      <x:c r="A128" t="str">
        <x:v>FIN-0127</x:v>
      </x:c>
      <x:c r="B128" s="10" t="n">
        <x:v>45872</x:v>
      </x:c>
      <x:c r="C128" t="n">
        <x:v>8</x:v>
      </x:c>
      <x:c r="D128" t="str">
        <x:v>Receita</x:v>
      </x:c>
      <x:c r="E128" t="str">
        <x:v>TI</x:v>
      </x:c>
      <x:c r="F128" t="str">
        <x:v>Venda de serviços</x:v>
      </x:c>
      <x:c r="G128" t="str">
        <x:v>Cliente 1</x:v>
      </x:c>
      <x:c r="H128" t="str">
        <x:v>DOC-25-08-001</x:v>
      </x:c>
      <x:c r="I128" s="8" t="n">
        <x:v>18726.97</x:v>
      </x:c>
      <x:c r="J128" t="str">
        <x:v>Confirmado</x:v>
      </x:c>
      <x:c r="K128" t="str">
        <x:v>Lançamento contábil</x:v>
      </x:c>
    </x:row>
    <x:row r="129" ht="21" customHeight="1">
      <x:c r="A129" t="str">
        <x:v>FIN-0128</x:v>
      </x:c>
      <x:c r="B129" s="10" t="n">
        <x:v>45873</x:v>
      </x:c>
      <x:c r="C129" t="n">
        <x:v>8</x:v>
      </x:c>
      <x:c r="D129" t="str">
        <x:v>Receita</x:v>
      </x:c>
      <x:c r="E129" t="str">
        <x:v>Financeiro</x:v>
      </x:c>
      <x:c r="F129" t="str">
        <x:v>Receita recorrente</x:v>
      </x:c>
      <x:c r="G129" t="str">
        <x:v>Cliente 2</x:v>
      </x:c>
      <x:c r="H129" t="str">
        <x:v>DOC-25-08-002</x:v>
      </x:c>
      <x:c r="I129" s="8" t="n">
        <x:v>22282.77</x:v>
      </x:c>
      <x:c r="J129" t="str">
        <x:v>Confirmado</x:v>
      </x:c>
      <x:c r="K129" t="str">
        <x:v>Lançamento contábil</x:v>
      </x:c>
    </x:row>
    <x:row r="130" ht="21" customHeight="1">
      <x:c r="A130" t="str">
        <x:v>FIN-0129</x:v>
      </x:c>
      <x:c r="B130" s="10" t="n">
        <x:v>45874</x:v>
      </x:c>
      <x:c r="C130" t="n">
        <x:v>8</x:v>
      </x:c>
      <x:c r="D130" t="str">
        <x:v>Receita</x:v>
      </x:c>
      <x:c r="E130" t="str">
        <x:v>RH</x:v>
      </x:c>
      <x:c r="F130" t="str">
        <x:v>Projetos</x:v>
      </x:c>
      <x:c r="G130" t="str">
        <x:v>Cliente 3</x:v>
      </x:c>
      <x:c r="H130" t="str">
        <x:v>DOC-25-08-003</x:v>
      </x:c>
      <x:c r="I130" s="8" t="n">
        <x:v>27860.42</x:v>
      </x:c>
      <x:c r="J130" t="str">
        <x:v>Confirmado</x:v>
      </x:c>
      <x:c r="K130" t="str">
        <x:v>Lançamento contábil</x:v>
      </x:c>
    </x:row>
    <x:row r="131" ht="21" customHeight="1">
      <x:c r="A131" t="str">
        <x:v>FIN-0130</x:v>
      </x:c>
      <x:c r="B131" s="10" t="n">
        <x:v>45875</x:v>
      </x:c>
      <x:c r="C131" t="n">
        <x:v>8</x:v>
      </x:c>
      <x:c r="D131" t="str">
        <x:v>Receita</x:v>
      </x:c>
      <x:c r="E131" t="str">
        <x:v>Marketing</x:v>
      </x:c>
      <x:c r="F131" t="str">
        <x:v>Licenciamento</x:v>
      </x:c>
      <x:c r="G131" t="str">
        <x:v>Cliente 4</x:v>
      </x:c>
      <x:c r="H131" t="str">
        <x:v>DOC-25-08-004</x:v>
      </x:c>
      <x:c r="I131" s="8" t="n">
        <x:v>25352.9</x:v>
      </x:c>
      <x:c r="J131" t="str">
        <x:v>Confirmado</x:v>
      </x:c>
      <x:c r="K131" t="str">
        <x:v>Lançamento contábil</x:v>
      </x:c>
    </x:row>
    <x:row r="132" ht="21" customHeight="1">
      <x:c r="A132" t="str">
        <x:v>FIN-0131</x:v>
      </x:c>
      <x:c r="B132" s="10" t="n">
        <x:v>45876</x:v>
      </x:c>
      <x:c r="C132" t="n">
        <x:v>8</x:v>
      </x:c>
      <x:c r="D132" t="str">
        <x:v>Receita</x:v>
      </x:c>
      <x:c r="E132" t="str">
        <x:v>Operações</x:v>
      </x:c>
      <x:c r="F132" t="str">
        <x:v>Serviços gerenciados</x:v>
      </x:c>
      <x:c r="G132" t="str">
        <x:v>Cliente 5</x:v>
      </x:c>
      <x:c r="H132" t="str">
        <x:v>DOC-25-08-005</x:v>
      </x:c>
      <x:c r="I132" s="8" t="n">
        <x:v>30124.08</x:v>
      </x:c>
      <x:c r="J132" t="str">
        <x:v>Confirmado</x:v>
      </x:c>
      <x:c r="K132" t="str">
        <x:v>Lançamento contábil</x:v>
      </x:c>
    </x:row>
    <x:row r="133" ht="21" customHeight="1">
      <x:c r="A133" t="str">
        <x:v>FIN-0132</x:v>
      </x:c>
      <x:c r="B133" s="10" t="n">
        <x:v>45877</x:v>
      </x:c>
      <x:c r="C133" t="n">
        <x:v>8</x:v>
      </x:c>
      <x:c r="D133" t="str">
        <x:v>Receita</x:v>
      </x:c>
      <x:c r="E133" t="str">
        <x:v>Comercial</x:v>
      </x:c>
      <x:c r="F133" t="str">
        <x:v>Treinamentos</x:v>
      </x:c>
      <x:c r="G133" t="str">
        <x:v>Cliente 6</x:v>
      </x:c>
      <x:c r="H133" t="str">
        <x:v>DOC-25-08-006</x:v>
      </x:c>
      <x:c r="I133" s="8" t="n">
        <x:v>36993.71</x:v>
      </x:c>
      <x:c r="J133" t="str">
        <x:v>Confirmado</x:v>
      </x:c>
      <x:c r="K133" t="str">
        <x:v>Lançamento contábil</x:v>
      </x:c>
    </x:row>
    <x:row r="134" ht="21" customHeight="1">
      <x:c r="A134" t="str">
        <x:v>FIN-0133</x:v>
      </x:c>
      <x:c r="B134" s="10" t="n">
        <x:v>45878</x:v>
      </x:c>
      <x:c r="C134" t="n">
        <x:v>8</x:v>
      </x:c>
      <x:c r="D134" t="str">
        <x:v>Despesa</x:v>
      </x:c>
      <x:c r="E134" t="str">
        <x:v>Logística</x:v>
      </x:c>
      <x:c r="F134" t="str">
        <x:v>Cloud</x:v>
      </x:c>
      <x:c r="G134" t="str">
        <x:v>Nexa Serviços</x:v>
      </x:c>
      <x:c r="H134" t="str">
        <x:v>DOC-25-08-007</x:v>
      </x:c>
      <x:c r="I134" s="8" t="n">
        <x:v>5549.08</x:v>
      </x:c>
      <x:c r="J134" t="str">
        <x:v>Confirmado</x:v>
      </x:c>
      <x:c r="K134" t="str">
        <x:v>Pagamento operacional</x:v>
      </x:c>
    </x:row>
    <x:row r="135" ht="21" customHeight="1">
      <x:c r="A135" t="str">
        <x:v>FIN-0134</x:v>
      </x:c>
      <x:c r="B135" s="10" t="n">
        <x:v>45879</x:v>
      </x:c>
      <x:c r="C135" t="n">
        <x:v>8</x:v>
      </x:c>
      <x:c r="D135" t="str">
        <x:v>Despesa</x:v>
      </x:c>
      <x:c r="E135" t="str">
        <x:v>Jurídico</x:v>
      </x:c>
      <x:c r="F135" t="str">
        <x:v>Hardware</x:v>
      </x:c>
      <x:c r="G135" t="str">
        <x:v>Omega Telecom</x:v>
      </x:c>
      <x:c r="H135" t="str">
        <x:v>DOC-25-08-008</x:v>
      </x:c>
      <x:c r="I135" s="8" t="n">
        <x:v>5584.75</x:v>
      </x:c>
      <x:c r="J135" t="str">
        <x:v>Confirmado</x:v>
      </x:c>
      <x:c r="K135" t="str">
        <x:v>Pagamento operacional</x:v>
      </x:c>
    </x:row>
    <x:row r="136" ht="21" customHeight="1">
      <x:c r="A136" t="str">
        <x:v>FIN-0135</x:v>
      </x:c>
      <x:c r="B136" s="10" t="n">
        <x:v>45880</x:v>
      </x:c>
      <x:c r="C136" t="n">
        <x:v>8</x:v>
      </x:c>
      <x:c r="D136" t="str">
        <x:v>Despesa</x:v>
      </x:c>
      <x:c r="E136" t="str">
        <x:v>TI</x:v>
      </x:c>
      <x:c r="F136" t="str">
        <x:v>Software</x:v>
      </x:c>
      <x:c r="G136" t="str">
        <x:v>Vértice Suprimentos</x:v>
      </x:c>
      <x:c r="H136" t="str">
        <x:v>DOC-25-08-009</x:v>
      </x:c>
      <x:c r="I136" s="8" t="n">
        <x:v>6512.56</x:v>
      </x:c>
      <x:c r="J136" t="str">
        <x:v>Confirmado</x:v>
      </x:c>
      <x:c r="K136" t="str">
        <x:v>Pagamento operacional</x:v>
      </x:c>
    </x:row>
    <x:row r="137" ht="21" customHeight="1">
      <x:c r="A137" t="str">
        <x:v>FIN-0136</x:v>
      </x:c>
      <x:c r="B137" s="10" t="n">
        <x:v>45881</x:v>
      </x:c>
      <x:c r="C137" t="n">
        <x:v>8</x:v>
      </x:c>
      <x:c r="D137" t="str">
        <x:v>Despesa</x:v>
      </x:c>
      <x:c r="E137" t="str">
        <x:v>Financeiro</x:v>
      </x:c>
      <x:c r="F137" t="str">
        <x:v>Serviços terceirizados</x:v>
      </x:c>
      <x:c r="G137" t="str">
        <x:v>Beta Facilities</x:v>
      </x:c>
      <x:c r="H137" t="str">
        <x:v>DOC-25-08-010</x:v>
      </x:c>
      <x:c r="I137" s="8" t="n">
        <x:v>7687.07</x:v>
      </x:c>
      <x:c r="J137" t="str">
        <x:v>Confirmado</x:v>
      </x:c>
      <x:c r="K137" t="str">
        <x:v>Pagamento operacional</x:v>
      </x:c>
    </x:row>
    <x:row r="138" ht="21" customHeight="1">
      <x:c r="A138" t="str">
        <x:v>FIN-0137</x:v>
      </x:c>
      <x:c r="B138" s="10" t="n">
        <x:v>45882</x:v>
      </x:c>
      <x:c r="C138" t="n">
        <x:v>8</x:v>
      </x:c>
      <x:c r="D138" t="str">
        <x:v>Despesa</x:v>
      </x:c>
      <x:c r="E138" t="str">
        <x:v>RH</x:v>
      </x:c>
      <x:c r="F138" t="str">
        <x:v>Marketing</x:v>
      </x:c>
      <x:c r="G138" t="str">
        <x:v>Sigma Consultoria</x:v>
      </x:c>
      <x:c r="H138" t="str">
        <x:v>DOC-25-08-011</x:v>
      </x:c>
      <x:c r="I138" s="8" t="n">
        <x:v>8779.09</x:v>
      </x:c>
      <x:c r="J138" t="str">
        <x:v>Confirmado</x:v>
      </x:c>
      <x:c r="K138" t="str">
        <x:v>Pagamento operacional</x:v>
      </x:c>
    </x:row>
    <x:row r="139" ht="21" customHeight="1">
      <x:c r="A139" t="str">
        <x:v>FIN-0138</x:v>
      </x:c>
      <x:c r="B139" s="10" t="n">
        <x:v>45883</x:v>
      </x:c>
      <x:c r="C139" t="n">
        <x:v>8</x:v>
      </x:c>
      <x:c r="D139" t="str">
        <x:v>Despesa</x:v>
      </x:c>
      <x:c r="E139" t="str">
        <x:v>Marketing</x:v>
      </x:c>
      <x:c r="F139" t="str">
        <x:v>Telefonia</x:v>
      </x:c>
      <x:c r="G139" t="str">
        <x:v>Orion Datacenter</x:v>
      </x:c>
      <x:c r="H139" t="str">
        <x:v>DOC-25-08-012</x:v>
      </x:c>
      <x:c r="I139" s="8" t="n">
        <x:v>9105.39</x:v>
      </x:c>
      <x:c r="J139" t="str">
        <x:v>Confirmado</x:v>
      </x:c>
      <x:c r="K139" t="str">
        <x:v>Pagamento operacional</x:v>
      </x:c>
    </x:row>
    <x:row r="140" ht="21" customHeight="1">
      <x:c r="A140" t="str">
        <x:v>FIN-0139</x:v>
      </x:c>
      <x:c r="B140" s="10" t="n">
        <x:v>45884</x:v>
      </x:c>
      <x:c r="C140" t="n">
        <x:v>8</x:v>
      </x:c>
      <x:c r="D140" t="str">
        <x:v>Despesa</x:v>
      </x:c>
      <x:c r="E140" t="str">
        <x:v>Operações</x:v>
      </x:c>
      <x:c r="F140" t="str">
        <x:v>Energia</x:v>
      </x:c>
      <x:c r="G140" t="str">
        <x:v>Lumina Energia</x:v>
      </x:c>
      <x:c r="H140" t="str">
        <x:v>DOC-25-08-013</x:v>
      </x:c>
      <x:c r="I140" s="8" t="n">
        <x:v>11812.55</x:v>
      </x:c>
      <x:c r="J140" t="str">
        <x:v>Confirmado</x:v>
      </x:c>
      <x:c r="K140" t="str">
        <x:v>Pagamento operacional</x:v>
      </x:c>
    </x:row>
    <x:row r="141" ht="21" customHeight="1">
      <x:c r="A141" t="str">
        <x:v>FIN-0140</x:v>
      </x:c>
      <x:c r="B141" s="10" t="n">
        <x:v>45885</x:v>
      </x:c>
      <x:c r="C141" t="n">
        <x:v>8</x:v>
      </x:c>
      <x:c r="D141" t="str">
        <x:v>Despesa</x:v>
      </x:c>
      <x:c r="E141" t="str">
        <x:v>Comercial</x:v>
      </x:c>
      <x:c r="F141" t="str">
        <x:v>Manutenção</x:v>
      </x:c>
      <x:c r="G141" t="str">
        <x:v>Atlas Software</x:v>
      </x:c>
      <x:c r="H141" t="str">
        <x:v>DOC-25-08-014</x:v>
      </x:c>
      <x:c r="I141" s="8" t="n">
        <x:v>12010.62</x:v>
      </x:c>
      <x:c r="J141" t="str">
        <x:v>Confirmado</x:v>
      </x:c>
      <x:c r="K141" t="str">
        <x:v>Pagamento operacional</x:v>
      </x:c>
    </x:row>
    <x:row r="142" ht="21" customHeight="1">
      <x:c r="A142" t="str">
        <x:v>FIN-0141</x:v>
      </x:c>
      <x:c r="B142" s="10" t="n">
        <x:v>45886</x:v>
      </x:c>
      <x:c r="C142" t="n">
        <x:v>8</x:v>
      </x:c>
      <x:c r="D142" t="str">
        <x:v>Despesa</x:v>
      </x:c>
      <x:c r="E142" t="str">
        <x:v>Logística</x:v>
      </x:c>
      <x:c r="F142" t="str">
        <x:v>Viagens</x:v>
      </x:c>
      <x:c r="G142" t="str">
        <x:v>Ponte Digital</x:v>
      </x:c>
      <x:c r="H142" t="str">
        <x:v>DOC-25-08-015</x:v>
      </x:c>
      <x:c r="I142" s="8" t="n">
        <x:v>12883.29</x:v>
      </x:c>
      <x:c r="J142" t="str">
        <x:v>Confirmado</x:v>
      </x:c>
      <x:c r="K142" t="str">
        <x:v>Pagamento operacional</x:v>
      </x:c>
    </x:row>
    <x:row r="143" ht="21" customHeight="1">
      <x:c r="A143" t="str">
        <x:v>FIN-0142</x:v>
      </x:c>
      <x:c r="B143" s="10" t="n">
        <x:v>45887</x:v>
      </x:c>
      <x:c r="C143" t="n">
        <x:v>8</x:v>
      </x:c>
      <x:c r="D143" t="str">
        <x:v>Despesa</x:v>
      </x:c>
      <x:c r="E143" t="str">
        <x:v>Jurídico</x:v>
      </x:c>
      <x:c r="F143" t="str">
        <x:v>Consultoria</x:v>
      </x:c>
      <x:c r="G143" t="str">
        <x:v>Solidez Infra</x:v>
      </x:c>
      <x:c r="H143" t="str">
        <x:v>DOC-25-08-016</x:v>
      </x:c>
      <x:c r="I143" s="8" t="n">
        <x:v>12751.56</x:v>
      </x:c>
      <x:c r="J143" t="str">
        <x:v>Confirmado</x:v>
      </x:c>
      <x:c r="K143" t="str">
        <x:v>Pagamento operacional</x:v>
      </x:c>
    </x:row>
    <x:row r="144" ht="21" customHeight="1">
      <x:c r="A144" t="str">
        <x:v>FIN-0143</x:v>
      </x:c>
      <x:c r="B144" s="10" t="n">
        <x:v>45888</x:v>
      </x:c>
      <x:c r="C144" t="n">
        <x:v>8</x:v>
      </x:c>
      <x:c r="D144" t="str">
        <x:v>Despesa</x:v>
      </x:c>
      <x:c r="E144" t="str">
        <x:v>TI</x:v>
      </x:c>
      <x:c r="F144" t="str">
        <x:v>Licenças</x:v>
      </x:c>
      <x:c r="G144" t="str">
        <x:v>Alfa Tecnologia</x:v>
      </x:c>
      <x:c r="H144" t="str">
        <x:v>DOC-25-08-017</x:v>
      </x:c>
      <x:c r="I144" s="8" t="n">
        <x:v>16236.65</x:v>
      </x:c>
      <x:c r="J144" t="str">
        <x:v>Confirmado</x:v>
      </x:c>
      <x:c r="K144" t="str">
        <x:v>Pagamento operacional</x:v>
      </x:c>
    </x:row>
    <x:row r="145" ht="21" customHeight="1">
      <x:c r="A145" t="str">
        <x:v>FIN-0144</x:v>
      </x:c>
      <x:c r="B145" s="10" t="n">
        <x:v>45889</x:v>
      </x:c>
      <x:c r="C145" t="n">
        <x:v>8</x:v>
      </x:c>
      <x:c r="D145" t="str">
        <x:v>Despesa</x:v>
      </x:c>
      <x:c r="E145" t="str">
        <x:v>Financeiro</x:v>
      </x:c>
      <x:c r="F145" t="str">
        <x:v>Logística</x:v>
      </x:c>
      <x:c r="G145" t="str">
        <x:v>Delta Cloud</x:v>
      </x:c>
      <x:c r="H145" t="str">
        <x:v>DOC-25-08-018</x:v>
      </x:c>
      <x:c r="I145" s="8" t="n">
        <x:v>16073.62</x:v>
      </x:c>
      <x:c r="J145" t="str">
        <x:v>Confirmado</x:v>
      </x:c>
      <x:c r="K145" t="str">
        <x:v>Pagamento operacional</x:v>
      </x:c>
    </x:row>
    <x:row r="146" ht="21" customHeight="1">
      <x:c r="A146" t="str">
        <x:v>FIN-0145</x:v>
      </x:c>
      <x:c r="B146" s="10" t="n">
        <x:v>45903</x:v>
      </x:c>
      <x:c r="C146" t="n">
        <x:v>9</x:v>
      </x:c>
      <x:c r="D146" t="str">
        <x:v>Receita</x:v>
      </x:c>
      <x:c r="E146" t="str">
        <x:v>TI</x:v>
      </x:c>
      <x:c r="F146" t="str">
        <x:v>Venda de serviços</x:v>
      </x:c>
      <x:c r="G146" t="str">
        <x:v>Cliente 1</x:v>
      </x:c>
      <x:c r="H146" t="str">
        <x:v>DOC-25-09-001</x:v>
      </x:c>
      <x:c r="I146" s="8" t="n">
        <x:v>22278.13</x:v>
      </x:c>
      <x:c r="J146" t="str">
        <x:v>Confirmado</x:v>
      </x:c>
      <x:c r="K146" t="str">
        <x:v>Lançamento contábil</x:v>
      </x:c>
    </x:row>
    <x:row r="147" ht="21" customHeight="1">
      <x:c r="A147" t="str">
        <x:v>FIN-0146</x:v>
      </x:c>
      <x:c r="B147" s="10" t="n">
        <x:v>45904</x:v>
      </x:c>
      <x:c r="C147" t="n">
        <x:v>9</x:v>
      </x:c>
      <x:c r="D147" t="str">
        <x:v>Receita</x:v>
      </x:c>
      <x:c r="E147" t="str">
        <x:v>Financeiro</x:v>
      </x:c>
      <x:c r="F147" t="str">
        <x:v>Receita recorrente</x:v>
      </x:c>
      <x:c r="G147" t="str">
        <x:v>Cliente 2</x:v>
      </x:c>
      <x:c r="H147" t="str">
        <x:v>DOC-25-09-002</x:v>
      </x:c>
      <x:c r="I147" s="8" t="n">
        <x:v>23184.96</x:v>
      </x:c>
      <x:c r="J147" t="str">
        <x:v>Confirmado</x:v>
      </x:c>
      <x:c r="K147" t="str">
        <x:v>Lançamento contábil</x:v>
      </x:c>
    </x:row>
    <x:row r="148" ht="21" customHeight="1">
      <x:c r="A148" t="str">
        <x:v>FIN-0147</x:v>
      </x:c>
      <x:c r="B148" s="10" t="n">
        <x:v>45905</x:v>
      </x:c>
      <x:c r="C148" t="n">
        <x:v>9</x:v>
      </x:c>
      <x:c r="D148" t="str">
        <x:v>Receita</x:v>
      </x:c>
      <x:c r="E148" t="str">
        <x:v>RH</x:v>
      </x:c>
      <x:c r="F148" t="str">
        <x:v>Projetos</x:v>
      </x:c>
      <x:c r="G148" t="str">
        <x:v>Cliente 3</x:v>
      </x:c>
      <x:c r="H148" t="str">
        <x:v>DOC-25-09-003</x:v>
      </x:c>
      <x:c r="I148" s="8" t="n">
        <x:v>23231.24</x:v>
      </x:c>
      <x:c r="J148" t="str">
        <x:v>Confirmado</x:v>
      </x:c>
      <x:c r="K148" t="str">
        <x:v>Lançamento contábil</x:v>
      </x:c>
    </x:row>
    <x:row r="149" ht="21" customHeight="1">
      <x:c r="A149" t="str">
        <x:v>FIN-0148</x:v>
      </x:c>
      <x:c r="B149" s="10" t="n">
        <x:v>45906</x:v>
      </x:c>
      <x:c r="C149" t="n">
        <x:v>9</x:v>
      </x:c>
      <x:c r="D149" t="str">
        <x:v>Receita</x:v>
      </x:c>
      <x:c r="E149" t="str">
        <x:v>Marketing</x:v>
      </x:c>
      <x:c r="F149" t="str">
        <x:v>Licenciamento</x:v>
      </x:c>
      <x:c r="G149" t="str">
        <x:v>Cliente 4</x:v>
      </x:c>
      <x:c r="H149" t="str">
        <x:v>DOC-25-09-004</x:v>
      </x:c>
      <x:c r="I149" s="8" t="n">
        <x:v>31079.71</x:v>
      </x:c>
      <x:c r="J149" t="str">
        <x:v>Confirmado</x:v>
      </x:c>
      <x:c r="K149" t="str">
        <x:v>Lançamento contábil</x:v>
      </x:c>
    </x:row>
    <x:row r="150" ht="21" customHeight="1">
      <x:c r="A150" t="str">
        <x:v>FIN-0149</x:v>
      </x:c>
      <x:c r="B150" s="10" t="n">
        <x:v>45907</x:v>
      </x:c>
      <x:c r="C150" t="n">
        <x:v>9</x:v>
      </x:c>
      <x:c r="D150" t="str">
        <x:v>Receita</x:v>
      </x:c>
      <x:c r="E150" t="str">
        <x:v>Operações</x:v>
      </x:c>
      <x:c r="F150" t="str">
        <x:v>Serviços gerenciados</x:v>
      </x:c>
      <x:c r="G150" t="str">
        <x:v>Cliente 5</x:v>
      </x:c>
      <x:c r="H150" t="str">
        <x:v>DOC-25-09-005</x:v>
      </x:c>
      <x:c r="I150" s="8" t="n">
        <x:v>31033.77</x:v>
      </x:c>
      <x:c r="J150" t="str">
        <x:v>Confirmado</x:v>
      </x:c>
      <x:c r="K150" t="str">
        <x:v>Lançamento contábil</x:v>
      </x:c>
    </x:row>
    <x:row r="151" ht="21" customHeight="1">
      <x:c r="A151" t="str">
        <x:v>FIN-0150</x:v>
      </x:c>
      <x:c r="B151" s="10" t="n">
        <x:v>45908</x:v>
      </x:c>
      <x:c r="C151" t="n">
        <x:v>9</x:v>
      </x:c>
      <x:c r="D151" t="str">
        <x:v>Receita</x:v>
      </x:c>
      <x:c r="E151" t="str">
        <x:v>Comercial</x:v>
      </x:c>
      <x:c r="F151" t="str">
        <x:v>Treinamentos</x:v>
      </x:c>
      <x:c r="G151" t="str">
        <x:v>Cliente 6</x:v>
      </x:c>
      <x:c r="H151" t="str">
        <x:v>DOC-25-09-006</x:v>
      </x:c>
      <x:c r="I151" s="8" t="n">
        <x:v>33627.9</x:v>
      </x:c>
      <x:c r="J151" t="str">
        <x:v>Confirmado</x:v>
      </x:c>
      <x:c r="K151" t="str">
        <x:v>Lançamento contábil</x:v>
      </x:c>
    </x:row>
    <x:row r="152" ht="21" customHeight="1">
      <x:c r="A152" t="str">
        <x:v>FIN-0151</x:v>
      </x:c>
      <x:c r="B152" s="10" t="n">
        <x:v>45909</x:v>
      </x:c>
      <x:c r="C152" t="n">
        <x:v>9</x:v>
      </x:c>
      <x:c r="D152" t="str">
        <x:v>Despesa</x:v>
      </x:c>
      <x:c r="E152" t="str">
        <x:v>Logística</x:v>
      </x:c>
      <x:c r="F152" t="str">
        <x:v>Cloud</x:v>
      </x:c>
      <x:c r="G152" t="str">
        <x:v>Omega Telecom</x:v>
      </x:c>
      <x:c r="H152" t="str">
        <x:v>DOC-25-09-007</x:v>
      </x:c>
      <x:c r="I152" s="8" t="n">
        <x:v>5166.42</x:v>
      </x:c>
      <x:c r="J152" t="str">
        <x:v>Confirmado</x:v>
      </x:c>
      <x:c r="K152" t="str">
        <x:v>Pagamento operacional</x:v>
      </x:c>
    </x:row>
    <x:row r="153" ht="21" customHeight="1">
      <x:c r="A153" t="str">
        <x:v>FIN-0152</x:v>
      </x:c>
      <x:c r="B153" s="10" t="n">
        <x:v>45910</x:v>
      </x:c>
      <x:c r="C153" t="n">
        <x:v>9</x:v>
      </x:c>
      <x:c r="D153" t="str">
        <x:v>Despesa</x:v>
      </x:c>
      <x:c r="E153" t="str">
        <x:v>Jurídico</x:v>
      </x:c>
      <x:c r="F153" t="str">
        <x:v>Hardware</x:v>
      </x:c>
      <x:c r="G153" t="str">
        <x:v>Vértice Suprimentos</x:v>
      </x:c>
      <x:c r="H153" t="str">
        <x:v>DOC-25-09-008</x:v>
      </x:c>
      <x:c r="I153" s="8" t="n">
        <x:v>5558.14</x:v>
      </x:c>
      <x:c r="J153" t="str">
        <x:v>Confirmado</x:v>
      </x:c>
      <x:c r="K153" t="str">
        <x:v>Pagamento operacional</x:v>
      </x:c>
    </x:row>
    <x:row r="154" ht="21" customHeight="1">
      <x:c r="A154" t="str">
        <x:v>FIN-0153</x:v>
      </x:c>
      <x:c r="B154" s="10" t="n">
        <x:v>45911</x:v>
      </x:c>
      <x:c r="C154" t="n">
        <x:v>9</x:v>
      </x:c>
      <x:c r="D154" t="str">
        <x:v>Despesa</x:v>
      </x:c>
      <x:c r="E154" t="str">
        <x:v>TI</x:v>
      </x:c>
      <x:c r="F154" t="str">
        <x:v>Software</x:v>
      </x:c>
      <x:c r="G154" t="str">
        <x:v>Beta Facilities</x:v>
      </x:c>
      <x:c r="H154" t="str">
        <x:v>DOC-25-09-009</x:v>
      </x:c>
      <x:c r="I154" s="8" t="n">
        <x:v>14538</x:v>
      </x:c>
      <x:c r="J154" t="str">
        <x:v>Confirmado</x:v>
      </x:c>
      <x:c r="K154" t="str">
        <x:v>Pagamento operacional</x:v>
      </x:c>
    </x:row>
    <x:row r="155" ht="21" customHeight="1">
      <x:c r="A155" t="str">
        <x:v>FIN-0154</x:v>
      </x:c>
      <x:c r="B155" s="10" t="n">
        <x:v>45912</x:v>
      </x:c>
      <x:c r="C155" t="n">
        <x:v>9</x:v>
      </x:c>
      <x:c r="D155" t="str">
        <x:v>Despesa</x:v>
      </x:c>
      <x:c r="E155" t="str">
        <x:v>Financeiro</x:v>
      </x:c>
      <x:c r="F155" t="str">
        <x:v>Serviços terceirizados</x:v>
      </x:c>
      <x:c r="G155" t="str">
        <x:v>Sigma Consultoria</x:v>
      </x:c>
      <x:c r="H155" t="str">
        <x:v>DOC-25-09-010</x:v>
      </x:c>
      <x:c r="I155" s="8" t="n">
        <x:v>7427.53</x:v>
      </x:c>
      <x:c r="J155" t="str">
        <x:v>Confirmado</x:v>
      </x:c>
      <x:c r="K155" t="str">
        <x:v>Pagamento operacional</x:v>
      </x:c>
    </x:row>
    <x:row r="156" ht="21" customHeight="1">
      <x:c r="A156" t="str">
        <x:v>FIN-0155</x:v>
      </x:c>
      <x:c r="B156" s="10" t="n">
        <x:v>45913</x:v>
      </x:c>
      <x:c r="C156" t="n">
        <x:v>9</x:v>
      </x:c>
      <x:c r="D156" t="str">
        <x:v>Despesa</x:v>
      </x:c>
      <x:c r="E156" t="str">
        <x:v>RH</x:v>
      </x:c>
      <x:c r="F156" t="str">
        <x:v>Marketing</x:v>
      </x:c>
      <x:c r="G156" t="str">
        <x:v>Orion Datacenter</x:v>
      </x:c>
      <x:c r="H156" t="str">
        <x:v>DOC-25-09-011</x:v>
      </x:c>
      <x:c r="I156" s="8" t="n">
        <x:v>8824.37</x:v>
      </x:c>
      <x:c r="J156" t="str">
        <x:v>Confirmado</x:v>
      </x:c>
      <x:c r="K156" t="str">
        <x:v>Pagamento operacional</x:v>
      </x:c>
    </x:row>
    <x:row r="157" ht="21" customHeight="1">
      <x:c r="A157" t="str">
        <x:v>FIN-0156</x:v>
      </x:c>
      <x:c r="B157" s="10" t="n">
        <x:v>45914</x:v>
      </x:c>
      <x:c r="C157" t="n">
        <x:v>9</x:v>
      </x:c>
      <x:c r="D157" t="str">
        <x:v>Despesa</x:v>
      </x:c>
      <x:c r="E157" t="str">
        <x:v>Marketing</x:v>
      </x:c>
      <x:c r="F157" t="str">
        <x:v>Telefonia</x:v>
      </x:c>
      <x:c r="G157" t="str">
        <x:v>Lumina Energia</x:v>
      </x:c>
      <x:c r="H157" t="str">
        <x:v>DOC-25-09-012</x:v>
      </x:c>
      <x:c r="I157" s="8" t="n">
        <x:v>17659.09</x:v>
      </x:c>
      <x:c r="J157" t="str">
        <x:v>Confirmado</x:v>
      </x:c>
      <x:c r="K157" t="str">
        <x:v>Pagamento operacional</x:v>
      </x:c>
    </x:row>
    <x:row r="158" ht="21" customHeight="1">
      <x:c r="A158" t="str">
        <x:v>FIN-0157</x:v>
      </x:c>
      <x:c r="B158" s="10" t="n">
        <x:v>45915</x:v>
      </x:c>
      <x:c r="C158" t="n">
        <x:v>9</x:v>
      </x:c>
      <x:c r="D158" t="str">
        <x:v>Despesa</x:v>
      </x:c>
      <x:c r="E158" t="str">
        <x:v>Operações</x:v>
      </x:c>
      <x:c r="F158" t="str">
        <x:v>Energia</x:v>
      </x:c>
      <x:c r="G158" t="str">
        <x:v>Atlas Software</x:v>
      </x:c>
      <x:c r="H158" t="str">
        <x:v>DOC-25-09-013</x:v>
      </x:c>
      <x:c r="I158" s="8" t="n">
        <x:v>20872.11</x:v>
      </x:c>
      <x:c r="J158" t="str">
        <x:v>Confirmado</x:v>
      </x:c>
      <x:c r="K158" t="str">
        <x:v>Pagamento operacional</x:v>
      </x:c>
    </x:row>
    <x:row r="159" ht="21" customHeight="1">
      <x:c r="A159" t="str">
        <x:v>FIN-0158</x:v>
      </x:c>
      <x:c r="B159" s="10" t="n">
        <x:v>45916</x:v>
      </x:c>
      <x:c r="C159" t="n">
        <x:v>9</x:v>
      </x:c>
      <x:c r="D159" t="str">
        <x:v>Despesa</x:v>
      </x:c>
      <x:c r="E159" t="str">
        <x:v>Comercial</x:v>
      </x:c>
      <x:c r="F159" t="str">
        <x:v>Manutenção</x:v>
      </x:c>
      <x:c r="G159" t="str">
        <x:v>Ponte Digital</x:v>
      </x:c>
      <x:c r="H159" t="str">
        <x:v>DOC-25-09-014</x:v>
      </x:c>
      <x:c r="I159" s="8" t="n">
        <x:v>13361.23</x:v>
      </x:c>
      <x:c r="J159" t="str">
        <x:v>Confirmado</x:v>
      </x:c>
      <x:c r="K159" t="str">
        <x:v>Pagamento operacional</x:v>
      </x:c>
    </x:row>
    <x:row r="160" ht="21" customHeight="1">
      <x:c r="A160" t="str">
        <x:v>FIN-0159</x:v>
      </x:c>
      <x:c r="B160" s="10" t="n">
        <x:v>45917</x:v>
      </x:c>
      <x:c r="C160" t="n">
        <x:v>9</x:v>
      </x:c>
      <x:c r="D160" t="str">
        <x:v>Despesa</x:v>
      </x:c>
      <x:c r="E160" t="str">
        <x:v>Logística</x:v>
      </x:c>
      <x:c r="F160" t="str">
        <x:v>Viagens</x:v>
      </x:c>
      <x:c r="G160" t="str">
        <x:v>Solidez Infra</x:v>
      </x:c>
      <x:c r="H160" t="str">
        <x:v>DOC-25-09-015</x:v>
      </x:c>
      <x:c r="I160" s="8" t="n">
        <x:v>14711.92</x:v>
      </x:c>
      <x:c r="J160" t="str">
        <x:v>Confirmado</x:v>
      </x:c>
      <x:c r="K160" t="str">
        <x:v>Pagamento operacional</x:v>
      </x:c>
    </x:row>
    <x:row r="161" ht="21" customHeight="1">
      <x:c r="A161" t="str">
        <x:v>FIN-0160</x:v>
      </x:c>
      <x:c r="B161" s="10" t="n">
        <x:v>45918</x:v>
      </x:c>
      <x:c r="C161" t="n">
        <x:v>9</x:v>
      </x:c>
      <x:c r="D161" t="str">
        <x:v>Despesa</x:v>
      </x:c>
      <x:c r="E161" t="str">
        <x:v>Jurídico</x:v>
      </x:c>
      <x:c r="F161" t="str">
        <x:v>Consultoria</x:v>
      </x:c>
      <x:c r="G161" t="str">
        <x:v>Alfa Tecnologia</x:v>
      </x:c>
      <x:c r="H161" t="str">
        <x:v>DOC-25-09-016</x:v>
      </x:c>
      <x:c r="I161" s="8" t="n">
        <x:v>14094.44</x:v>
      </x:c>
      <x:c r="J161" t="str">
        <x:v>Confirmado</x:v>
      </x:c>
      <x:c r="K161" t="str">
        <x:v>Pagamento operacional</x:v>
      </x:c>
    </x:row>
    <x:row r="162" ht="21" customHeight="1">
      <x:c r="A162" t="str">
        <x:v>FIN-0161</x:v>
      </x:c>
      <x:c r="B162" s="10" t="n">
        <x:v>45919</x:v>
      </x:c>
      <x:c r="C162" t="n">
        <x:v>9</x:v>
      </x:c>
      <x:c r="D162" t="str">
        <x:v>Despesa</x:v>
      </x:c>
      <x:c r="E162" t="str">
        <x:v>TI</x:v>
      </x:c>
      <x:c r="F162" t="str">
        <x:v>Licenças</x:v>
      </x:c>
      <x:c r="G162" t="str">
        <x:v>Delta Cloud</x:v>
      </x:c>
      <x:c r="H162" t="str">
        <x:v>DOC-25-09-017</x:v>
      </x:c>
      <x:c r="I162" s="8" t="n">
        <x:v>32099.07</x:v>
      </x:c>
      <x:c r="J162" t="str">
        <x:v>Confirmado</x:v>
      </x:c>
      <x:c r="K162" t="str">
        <x:v>Pagamento operacional</x:v>
      </x:c>
    </x:row>
    <x:row r="163" ht="21" customHeight="1">
      <x:c r="A163" t="str">
        <x:v>FIN-0162</x:v>
      </x:c>
      <x:c r="B163" s="10" t="n">
        <x:v>45920</x:v>
      </x:c>
      <x:c r="C163" t="n">
        <x:v>9</x:v>
      </x:c>
      <x:c r="D163" t="str">
        <x:v>Despesa</x:v>
      </x:c>
      <x:c r="E163" t="str">
        <x:v>Financeiro</x:v>
      </x:c>
      <x:c r="F163" t="str">
        <x:v>Logística</x:v>
      </x:c>
      <x:c r="G163" t="str">
        <x:v>Nexa Serviços</x:v>
      </x:c>
      <x:c r="H163" t="str">
        <x:v>DOC-25-09-018</x:v>
      </x:c>
      <x:c r="I163" s="8" t="n">
        <x:v>15201.94</x:v>
      </x:c>
      <x:c r="J163" t="str">
        <x:v>Confirmado</x:v>
      </x:c>
      <x:c r="K163" t="str">
        <x:v>Pagamento operacional</x:v>
      </x:c>
    </x:row>
    <x:row r="164" ht="21" customHeight="1">
      <x:c r="A164" t="str">
        <x:v>FIN-0163</x:v>
      </x:c>
      <x:c r="B164" s="10" t="n">
        <x:v>45933</x:v>
      </x:c>
      <x:c r="C164" t="n">
        <x:v>10</x:v>
      </x:c>
      <x:c r="D164" t="str">
        <x:v>Receita</x:v>
      </x:c>
      <x:c r="E164" t="str">
        <x:v>TI</x:v>
      </x:c>
      <x:c r="F164" t="str">
        <x:v>Venda de serviços</x:v>
      </x:c>
      <x:c r="G164" t="str">
        <x:v>Cliente 1</x:v>
      </x:c>
      <x:c r="H164" t="str">
        <x:v>DOC-25-10-001</x:v>
      </x:c>
      <x:c r="I164" s="8" t="n">
        <x:v>22139.73</x:v>
      </x:c>
      <x:c r="J164" t="str">
        <x:v>Confirmado</x:v>
      </x:c>
      <x:c r="K164" t="str">
        <x:v>Lançamento contábil</x:v>
      </x:c>
    </x:row>
    <x:row r="165" ht="21" customHeight="1">
      <x:c r="A165" t="str">
        <x:v>FIN-0164</x:v>
      </x:c>
      <x:c r="B165" s="10" t="n">
        <x:v>45934</x:v>
      </x:c>
      <x:c r="C165" t="n">
        <x:v>10</x:v>
      </x:c>
      <x:c r="D165" t="str">
        <x:v>Receita</x:v>
      </x:c>
      <x:c r="E165" t="str">
        <x:v>Financeiro</x:v>
      </x:c>
      <x:c r="F165" t="str">
        <x:v>Receita recorrente</x:v>
      </x:c>
      <x:c r="G165" t="str">
        <x:v>Cliente 2</x:v>
      </x:c>
      <x:c r="H165" t="str">
        <x:v>DOC-25-10-002</x:v>
      </x:c>
      <x:c r="I165" s="8" t="n">
        <x:v>24580.41</x:v>
      </x:c>
      <x:c r="J165" t="str">
        <x:v>Confirmado</x:v>
      </x:c>
      <x:c r="K165" t="str">
        <x:v>Lançamento contábil</x:v>
      </x:c>
    </x:row>
    <x:row r="166" ht="21" customHeight="1">
      <x:c r="A166" t="str">
        <x:v>FIN-0165</x:v>
      </x:c>
      <x:c r="B166" s="10" t="n">
        <x:v>45935</x:v>
      </x:c>
      <x:c r="C166" t="n">
        <x:v>10</x:v>
      </x:c>
      <x:c r="D166" t="str">
        <x:v>Receita</x:v>
      </x:c>
      <x:c r="E166" t="str">
        <x:v>RH</x:v>
      </x:c>
      <x:c r="F166" t="str">
        <x:v>Projetos</x:v>
      </x:c>
      <x:c r="G166" t="str">
        <x:v>Cliente 3</x:v>
      </x:c>
      <x:c r="H166" t="str">
        <x:v>DOC-25-10-003</x:v>
      </x:c>
      <x:c r="I166" s="8" t="n">
        <x:v>27878.77</x:v>
      </x:c>
      <x:c r="J166" t="str">
        <x:v>Confirmado</x:v>
      </x:c>
      <x:c r="K166" t="str">
        <x:v>Lançamento contábil</x:v>
      </x:c>
    </x:row>
    <x:row r="167" ht="21" customHeight="1">
      <x:c r="A167" t="str">
        <x:v>FIN-0166</x:v>
      </x:c>
      <x:c r="B167" s="10" t="n">
        <x:v>45936</x:v>
      </x:c>
      <x:c r="C167" t="n">
        <x:v>10</x:v>
      </x:c>
      <x:c r="D167" t="str">
        <x:v>Receita</x:v>
      </x:c>
      <x:c r="E167" t="str">
        <x:v>Marketing</x:v>
      </x:c>
      <x:c r="F167" t="str">
        <x:v>Licenciamento</x:v>
      </x:c>
      <x:c r="G167" t="str">
        <x:v>Cliente 4</x:v>
      </x:c>
      <x:c r="H167" t="str">
        <x:v>DOC-25-10-004</x:v>
      </x:c>
      <x:c r="I167" s="8" t="n">
        <x:v>27169.61</x:v>
      </x:c>
      <x:c r="J167" t="str">
        <x:v>Confirmado</x:v>
      </x:c>
      <x:c r="K167" t="str">
        <x:v>Lançamento contábil</x:v>
      </x:c>
    </x:row>
    <x:row r="168" ht="21" customHeight="1">
      <x:c r="A168" t="str">
        <x:v>FIN-0167</x:v>
      </x:c>
      <x:c r="B168" s="10" t="n">
        <x:v>45937</x:v>
      </x:c>
      <x:c r="C168" t="n">
        <x:v>10</x:v>
      </x:c>
      <x:c r="D168" t="str">
        <x:v>Receita</x:v>
      </x:c>
      <x:c r="E168" t="str">
        <x:v>Operações</x:v>
      </x:c>
      <x:c r="F168" t="str">
        <x:v>Serviços gerenciados</x:v>
      </x:c>
      <x:c r="G168" t="str">
        <x:v>Cliente 5</x:v>
      </x:c>
      <x:c r="H168" t="str">
        <x:v>DOC-25-10-005</x:v>
      </x:c>
      <x:c r="I168" s="8" t="n">
        <x:v>31147.11</x:v>
      </x:c>
      <x:c r="J168" t="str">
        <x:v>Confirmado</x:v>
      </x:c>
      <x:c r="K168" t="str">
        <x:v>Lançamento contábil</x:v>
      </x:c>
    </x:row>
    <x:row r="169" ht="21" customHeight="1">
      <x:c r="A169" t="str">
        <x:v>FIN-0168</x:v>
      </x:c>
      <x:c r="B169" s="10" t="n">
        <x:v>45938</x:v>
      </x:c>
      <x:c r="C169" t="n">
        <x:v>10</x:v>
      </x:c>
      <x:c r="D169" t="str">
        <x:v>Receita</x:v>
      </x:c>
      <x:c r="E169" t="str">
        <x:v>Comercial</x:v>
      </x:c>
      <x:c r="F169" t="str">
        <x:v>Treinamentos</x:v>
      </x:c>
      <x:c r="G169" t="str">
        <x:v>Cliente 6</x:v>
      </x:c>
      <x:c r="H169" t="str">
        <x:v>DOC-25-10-006</x:v>
      </x:c>
      <x:c r="I169" s="8" t="n">
        <x:v>30327.38</x:v>
      </x:c>
      <x:c r="J169" t="str">
        <x:v>Confirmado</x:v>
      </x:c>
      <x:c r="K169" t="str">
        <x:v>Lançamento contábil</x:v>
      </x:c>
    </x:row>
    <x:row r="170" ht="21" customHeight="1">
      <x:c r="A170" t="str">
        <x:v>FIN-0169</x:v>
      </x:c>
      <x:c r="B170" s="10" t="n">
        <x:v>45939</x:v>
      </x:c>
      <x:c r="C170" t="n">
        <x:v>10</x:v>
      </x:c>
      <x:c r="D170" t="str">
        <x:v>Despesa</x:v>
      </x:c>
      <x:c r="E170" t="str">
        <x:v>Logística</x:v>
      </x:c>
      <x:c r="F170" t="str">
        <x:v>Cloud</x:v>
      </x:c>
      <x:c r="G170" t="str">
        <x:v>Vértice Suprimentos</x:v>
      </x:c>
      <x:c r="H170" t="str">
        <x:v>DOC-25-10-007</x:v>
      </x:c>
      <x:c r="I170" s="8" t="n">
        <x:v>5693.97</x:v>
      </x:c>
      <x:c r="J170" t="str">
        <x:v>Confirmado</x:v>
      </x:c>
      <x:c r="K170" t="str">
        <x:v>Pagamento operacional</x:v>
      </x:c>
    </x:row>
    <x:row r="171" ht="21" customHeight="1">
      <x:c r="A171" t="str">
        <x:v>FIN-0170</x:v>
      </x:c>
      <x:c r="B171" s="10" t="n">
        <x:v>45940</x:v>
      </x:c>
      <x:c r="C171" t="n">
        <x:v>10</x:v>
      </x:c>
      <x:c r="D171" t="str">
        <x:v>Despesa</x:v>
      </x:c>
      <x:c r="E171" t="str">
        <x:v>Jurídico</x:v>
      </x:c>
      <x:c r="F171" t="str">
        <x:v>Hardware</x:v>
      </x:c>
      <x:c r="G171" t="str">
        <x:v>Beta Facilities</x:v>
      </x:c>
      <x:c r="H171" t="str">
        <x:v>DOC-25-10-008</x:v>
      </x:c>
      <x:c r="I171" s="8" t="n">
        <x:v>6223.5</x:v>
      </x:c>
      <x:c r="J171" t="str">
        <x:v>Confirmado</x:v>
      </x:c>
      <x:c r="K171" t="str">
        <x:v>Pagamento operacional</x:v>
      </x:c>
    </x:row>
    <x:row r="172" ht="21" customHeight="1">
      <x:c r="A172" t="str">
        <x:v>FIN-0171</x:v>
      </x:c>
      <x:c r="B172" s="10" t="n">
        <x:v>45941</x:v>
      </x:c>
      <x:c r="C172" t="n">
        <x:v>10</x:v>
      </x:c>
      <x:c r="D172" t="str">
        <x:v>Despesa</x:v>
      </x:c>
      <x:c r="E172" t="str">
        <x:v>TI</x:v>
      </x:c>
      <x:c r="F172" t="str">
        <x:v>Software</x:v>
      </x:c>
      <x:c r="G172" t="str">
        <x:v>Sigma Consultoria</x:v>
      </x:c>
      <x:c r="H172" t="str">
        <x:v>DOC-25-10-009</x:v>
      </x:c>
      <x:c r="I172" s="8" t="n">
        <x:v>7579.93</x:v>
      </x:c>
      <x:c r="J172" t="str">
        <x:v>Confirmado</x:v>
      </x:c>
      <x:c r="K172" t="str">
        <x:v>Pagamento operacional</x:v>
      </x:c>
    </x:row>
    <x:row r="173" ht="21" customHeight="1">
      <x:c r="A173" t="str">
        <x:v>FIN-0172</x:v>
      </x:c>
      <x:c r="B173" s="10" t="n">
        <x:v>45942</x:v>
      </x:c>
      <x:c r="C173" t="n">
        <x:v>10</x:v>
      </x:c>
      <x:c r="D173" t="str">
        <x:v>Despesa</x:v>
      </x:c>
      <x:c r="E173" t="str">
        <x:v>Financeiro</x:v>
      </x:c>
      <x:c r="F173" t="str">
        <x:v>Serviços terceirizados</x:v>
      </x:c>
      <x:c r="G173" t="str">
        <x:v>Orion Datacenter</x:v>
      </x:c>
      <x:c r="H173" t="str">
        <x:v>DOC-25-10-010</x:v>
      </x:c>
      <x:c r="I173" s="8" t="n">
        <x:v>7607.59</x:v>
      </x:c>
      <x:c r="J173" t="str">
        <x:v>Confirmado</x:v>
      </x:c>
      <x:c r="K173" t="str">
        <x:v>Pagamento operacional</x:v>
      </x:c>
    </x:row>
    <x:row r="174" ht="21" customHeight="1">
      <x:c r="A174" t="str">
        <x:v>FIN-0173</x:v>
      </x:c>
      <x:c r="B174" s="10" t="n">
        <x:v>45943</x:v>
      </x:c>
      <x:c r="C174" t="n">
        <x:v>10</x:v>
      </x:c>
      <x:c r="D174" t="str">
        <x:v>Despesa</x:v>
      </x:c>
      <x:c r="E174" t="str">
        <x:v>RH</x:v>
      </x:c>
      <x:c r="F174" t="str">
        <x:v>Marketing</x:v>
      </x:c>
      <x:c r="G174" t="str">
        <x:v>Lumina Energia</x:v>
      </x:c>
      <x:c r="H174" t="str">
        <x:v>DOC-25-10-011</x:v>
      </x:c>
      <x:c r="I174" s="8" t="n">
        <x:v>10559.63</x:v>
      </x:c>
      <x:c r="J174" t="str">
        <x:v>Confirmado</x:v>
      </x:c>
      <x:c r="K174" t="str">
        <x:v>Pagamento operacional</x:v>
      </x:c>
    </x:row>
    <x:row r="175" ht="21" customHeight="1">
      <x:c r="A175" t="str">
        <x:v>FIN-0174</x:v>
      </x:c>
      <x:c r="B175" s="10" t="n">
        <x:v>45944</x:v>
      </x:c>
      <x:c r="C175" t="n">
        <x:v>10</x:v>
      </x:c>
      <x:c r="D175" t="str">
        <x:v>Despesa</x:v>
      </x:c>
      <x:c r="E175" t="str">
        <x:v>Marketing</x:v>
      </x:c>
      <x:c r="F175" t="str">
        <x:v>Telefonia</x:v>
      </x:c>
      <x:c r="G175" t="str">
        <x:v>Atlas Software</x:v>
      </x:c>
      <x:c r="H175" t="str">
        <x:v>DOC-25-10-012</x:v>
      </x:c>
      <x:c r="I175" s="8" t="n">
        <x:v>11122.01</x:v>
      </x:c>
      <x:c r="J175" t="str">
        <x:v>Confirmado</x:v>
      </x:c>
      <x:c r="K175" t="str">
        <x:v>Pagamento operacional</x:v>
      </x:c>
    </x:row>
    <x:row r="176" ht="21" customHeight="1">
      <x:c r="A176" t="str">
        <x:v>FIN-0175</x:v>
      </x:c>
      <x:c r="B176" s="10" t="n">
        <x:v>45945</x:v>
      </x:c>
      <x:c r="C176" t="n">
        <x:v>10</x:v>
      </x:c>
      <x:c r="D176" t="str">
        <x:v>Despesa</x:v>
      </x:c>
      <x:c r="E176" t="str">
        <x:v>Operações</x:v>
      </x:c>
      <x:c r="F176" t="str">
        <x:v>Energia</x:v>
      </x:c>
      <x:c r="G176" t="str">
        <x:v>Ponte Digital</x:v>
      </x:c>
      <x:c r="H176" t="str">
        <x:v>DOC-25-10-013</x:v>
      </x:c>
      <x:c r="I176" s="8" t="n">
        <x:v>10812.67</x:v>
      </x:c>
      <x:c r="J176" t="str">
        <x:v>Confirmado</x:v>
      </x:c>
      <x:c r="K176" t="str">
        <x:v>Pagamento operacional</x:v>
      </x:c>
    </x:row>
    <x:row r="177" ht="21" customHeight="1">
      <x:c r="A177" t="str">
        <x:v>FIN-0176</x:v>
      </x:c>
      <x:c r="B177" s="10" t="n">
        <x:v>45946</x:v>
      </x:c>
      <x:c r="C177" t="n">
        <x:v>10</x:v>
      </x:c>
      <x:c r="D177" t="str">
        <x:v>Despesa</x:v>
      </x:c>
      <x:c r="E177" t="str">
        <x:v>Comercial</x:v>
      </x:c>
      <x:c r="F177" t="str">
        <x:v>Manutenção</x:v>
      </x:c>
      <x:c r="G177" t="str">
        <x:v>Solidez Infra</x:v>
      </x:c>
      <x:c r="H177" t="str">
        <x:v>DOC-25-10-014</x:v>
      </x:c>
      <x:c r="I177" s="8" t="n">
        <x:v>12714.51</x:v>
      </x:c>
      <x:c r="J177" t="str">
        <x:v>Confirmado</x:v>
      </x:c>
      <x:c r="K177" t="str">
        <x:v>Pagamento operacional</x:v>
      </x:c>
    </x:row>
    <x:row r="178" ht="21" customHeight="1">
      <x:c r="A178" t="str">
        <x:v>FIN-0177</x:v>
      </x:c>
      <x:c r="B178" s="10" t="n">
        <x:v>45947</x:v>
      </x:c>
      <x:c r="C178" t="n">
        <x:v>10</x:v>
      </x:c>
      <x:c r="D178" t="str">
        <x:v>Despesa</x:v>
      </x:c>
      <x:c r="E178" t="str">
        <x:v>Logística</x:v>
      </x:c>
      <x:c r="F178" t="str">
        <x:v>Viagens</x:v>
      </x:c>
      <x:c r="G178" t="str">
        <x:v>Alfa Tecnologia</x:v>
      </x:c>
      <x:c r="H178" t="str">
        <x:v>DOC-25-10-015</x:v>
      </x:c>
      <x:c r="I178" s="8" t="n">
        <x:v>15381.01</x:v>
      </x:c>
      <x:c r="J178" t="str">
        <x:v>Confirmado</x:v>
      </x:c>
      <x:c r="K178" t="str">
        <x:v>Pagamento operacional</x:v>
      </x:c>
    </x:row>
    <x:row r="179" ht="21" customHeight="1">
      <x:c r="A179" t="str">
        <x:v>FIN-0178</x:v>
      </x:c>
      <x:c r="B179" s="10" t="n">
        <x:v>45948</x:v>
      </x:c>
      <x:c r="C179" t="n">
        <x:v>10</x:v>
      </x:c>
      <x:c r="D179" t="str">
        <x:v>Despesa</x:v>
      </x:c>
      <x:c r="E179" t="str">
        <x:v>Jurídico</x:v>
      </x:c>
      <x:c r="F179" t="str">
        <x:v>Consultoria</x:v>
      </x:c>
      <x:c r="G179" t="str">
        <x:v>Delta Cloud</x:v>
      </x:c>
      <x:c r="H179" t="str">
        <x:v>DOC-25-10-016</x:v>
      </x:c>
      <x:c r="I179" s="8" t="n">
        <x:v>84500</x:v>
      </x:c>
      <x:c r="J179" t="str">
        <x:v>Confirmado</x:v>
      </x:c>
      <x:c r="K179" t="str">
        <x:v>Pagamento operacional</x:v>
      </x:c>
    </x:row>
    <x:row r="180" ht="21" customHeight="1">
      <x:c r="A180" t="str">
        <x:v>FIN-0179</x:v>
      </x:c>
      <x:c r="B180" s="10" t="n">
        <x:v>45949</x:v>
      </x:c>
      <x:c r="C180" t="n">
        <x:v>10</x:v>
      </x:c>
      <x:c r="D180" t="str">
        <x:v>Despesa</x:v>
      </x:c>
      <x:c r="E180" t="str">
        <x:v>TI</x:v>
      </x:c>
      <x:c r="F180" t="str">
        <x:v>Licenças</x:v>
      </x:c>
      <x:c r="G180" t="str">
        <x:v>Nexa Serviços</x:v>
      </x:c>
      <x:c r="H180" t="str">
        <x:v>DOC-25-10-017</x:v>
      </x:c>
      <x:c r="I180" s="8" t="n">
        <x:v>15863.61</x:v>
      </x:c>
      <x:c r="J180" t="str">
        <x:v>Confirmado</x:v>
      </x:c>
      <x:c r="K180" t="str">
        <x:v>Pagamento operacional</x:v>
      </x:c>
    </x:row>
    <x:row r="181" ht="21" customHeight="1">
      <x:c r="A181" t="str">
        <x:v>FIN-0180</x:v>
      </x:c>
      <x:c r="B181" s="10" t="n">
        <x:v>45950</x:v>
      </x:c>
      <x:c r="C181" t="n">
        <x:v>10</x:v>
      </x:c>
      <x:c r="D181" t="str">
        <x:v>Despesa</x:v>
      </x:c>
      <x:c r="E181" t="str">
        <x:v>Financeiro</x:v>
      </x:c>
      <x:c r="F181" t="str">
        <x:v>Logística</x:v>
      </x:c>
      <x:c r="G181" t="str">
        <x:v>Omega Telecom</x:v>
      </x:c>
      <x:c r="H181" t="str">
        <x:v>DOC-25-10-018</x:v>
      </x:c>
      <x:c r="I181" s="8" t="n">
        <x:v>15297.59</x:v>
      </x:c>
      <x:c r="J181" t="str">
        <x:v>Confirmado</x:v>
      </x:c>
      <x:c r="K181" t="str">
        <x:v>Pagamento operacional</x:v>
      </x:c>
    </x:row>
    <x:row r="182" ht="21" customHeight="1">
      <x:c r="A182" t="str">
        <x:v>FIN-0181</x:v>
      </x:c>
      <x:c r="B182" s="10" t="n">
        <x:v>45964</x:v>
      </x:c>
      <x:c r="C182" t="n">
        <x:v>11</x:v>
      </x:c>
      <x:c r="D182" t="str">
        <x:v>Receita</x:v>
      </x:c>
      <x:c r="E182" t="str">
        <x:v>TI</x:v>
      </x:c>
      <x:c r="F182" t="str">
        <x:v>Venda de serviços</x:v>
      </x:c>
      <x:c r="G182" t="str">
        <x:v>Cliente 1</x:v>
      </x:c>
      <x:c r="H182" t="str">
        <x:v>DOC-25-11-001</x:v>
      </x:c>
      <x:c r="I182" s="8" t="n">
        <x:v>21978.61</x:v>
      </x:c>
      <x:c r="J182" t="str">
        <x:v>Confirmado</x:v>
      </x:c>
      <x:c r="K182" t="str">
        <x:v>Lançamento contábil</x:v>
      </x:c>
    </x:row>
    <x:row r="183" ht="21" customHeight="1">
      <x:c r="A183" t="str">
        <x:v>FIN-0182</x:v>
      </x:c>
      <x:c r="B183" s="10" t="n">
        <x:v>45965</x:v>
      </x:c>
      <x:c r="C183" t="n">
        <x:v>11</x:v>
      </x:c>
      <x:c r="D183" t="str">
        <x:v>Receita</x:v>
      </x:c>
      <x:c r="E183" t="str">
        <x:v>Financeiro</x:v>
      </x:c>
      <x:c r="F183" t="str">
        <x:v>Receita recorrente</x:v>
      </x:c>
      <x:c r="G183" t="str">
        <x:v>Cliente 2</x:v>
      </x:c>
      <x:c r="H183" t="str">
        <x:v>DOC-25-11-002</x:v>
      </x:c>
      <x:c r="I183" s="8" t="n">
        <x:v>26990.03</x:v>
      </x:c>
      <x:c r="J183" t="str">
        <x:v>Confirmado</x:v>
      </x:c>
      <x:c r="K183" t="str">
        <x:v>Lançamento contábil</x:v>
      </x:c>
    </x:row>
    <x:row r="184" ht="21" customHeight="1">
      <x:c r="A184" t="str">
        <x:v>FIN-0183</x:v>
      </x:c>
      <x:c r="B184" s="10" t="n">
        <x:v>45966</x:v>
      </x:c>
      <x:c r="C184" t="n">
        <x:v>11</x:v>
      </x:c>
      <x:c r="D184" t="str">
        <x:v>Receita</x:v>
      </x:c>
      <x:c r="E184" t="str">
        <x:v>RH</x:v>
      </x:c>
      <x:c r="F184" t="str">
        <x:v>Projetos</x:v>
      </x:c>
      <x:c r="G184" t="str">
        <x:v>Cliente 3</x:v>
      </x:c>
      <x:c r="H184" t="str">
        <x:v>DOC-25-11-003</x:v>
      </x:c>
      <x:c r="I184" s="8" t="n">
        <x:v>27904.46</x:v>
      </x:c>
      <x:c r="J184" t="str">
        <x:v>Confirmado</x:v>
      </x:c>
      <x:c r="K184" t="str">
        <x:v>Lançamento contábil</x:v>
      </x:c>
    </x:row>
    <x:row r="185" ht="21" customHeight="1">
      <x:c r="A185" t="str">
        <x:v>FIN-0184</x:v>
      </x:c>
      <x:c r="B185" s="10" t="n">
        <x:v>45967</x:v>
      </x:c>
      <x:c r="C185" t="n">
        <x:v>11</x:v>
      </x:c>
      <x:c r="D185" t="str">
        <x:v>Receita</x:v>
      </x:c>
      <x:c r="E185" t="str">
        <x:v>Marketing</x:v>
      </x:c>
      <x:c r="F185" t="str">
        <x:v>Licenciamento</x:v>
      </x:c>
      <x:c r="G185" t="str">
        <x:v>Cliente 4</x:v>
      </x:c>
      <x:c r="H185" t="str">
        <x:v>DOC-25-11-004</x:v>
      </x:c>
      <x:c r="I185" s="8" t="n">
        <x:v>26326.87</x:v>
      </x:c>
      <x:c r="J185" t="str">
        <x:v>Confirmado</x:v>
      </x:c>
      <x:c r="K185" t="str">
        <x:v>Lançamento contábil</x:v>
      </x:c>
    </x:row>
    <x:row r="186" ht="21" customHeight="1">
      <x:c r="A186" t="str">
        <x:v>FIN-0185</x:v>
      </x:c>
      <x:c r="B186" s="10" t="n">
        <x:v>45968</x:v>
      </x:c>
      <x:c r="C186" t="n">
        <x:v>11</x:v>
      </x:c>
      <x:c r="D186" t="str">
        <x:v>Receita</x:v>
      </x:c>
      <x:c r="E186" t="str">
        <x:v>Operações</x:v>
      </x:c>
      <x:c r="F186" t="str">
        <x:v>Serviços gerenciados</x:v>
      </x:c>
      <x:c r="G186" t="str">
        <x:v>Cliente 5</x:v>
      </x:c>
      <x:c r="H186" t="str">
        <x:v>DOC-25-11-005</x:v>
      </x:c>
      <x:c r="I186" s="8" t="n">
        <x:v>31909.69</x:v>
      </x:c>
      <x:c r="J186" t="str">
        <x:v>Confirmado</x:v>
      </x:c>
      <x:c r="K186" t="str">
        <x:v>Lançamento contábil</x:v>
      </x:c>
    </x:row>
    <x:row r="187" ht="21" customHeight="1">
      <x:c r="A187" t="str">
        <x:v>FIN-0186</x:v>
      </x:c>
      <x:c r="B187" s="10" t="n">
        <x:v>45969</x:v>
      </x:c>
      <x:c r="C187" t="n">
        <x:v>11</x:v>
      </x:c>
      <x:c r="D187" t="str">
        <x:v>Receita</x:v>
      </x:c>
      <x:c r="E187" t="str">
        <x:v>Comercial</x:v>
      </x:c>
      <x:c r="F187" t="str">
        <x:v>Treinamentos</x:v>
      </x:c>
      <x:c r="G187" t="str">
        <x:v>Cliente 6</x:v>
      </x:c>
      <x:c r="H187" t="str">
        <x:v>DOC-25-11-006</x:v>
      </x:c>
      <x:c r="I187" s="8" t="n">
        <x:v>33535.96</x:v>
      </x:c>
      <x:c r="J187" t="str">
        <x:v>Confirmado</x:v>
      </x:c>
      <x:c r="K187" t="str">
        <x:v>Lançamento contábil</x:v>
      </x:c>
    </x:row>
    <x:row r="188" ht="21" customHeight="1">
      <x:c r="A188" t="str">
        <x:v>FIN-0187</x:v>
      </x:c>
      <x:c r="B188" s="10" t="n">
        <x:v>45970</x:v>
      </x:c>
      <x:c r="C188" t="n">
        <x:v>11</x:v>
      </x:c>
      <x:c r="D188" t="str">
        <x:v>Despesa</x:v>
      </x:c>
      <x:c r="E188" t="str">
        <x:v>Logística</x:v>
      </x:c>
      <x:c r="F188" t="str">
        <x:v>Cloud</x:v>
      </x:c>
      <x:c r="G188" t="str">
        <x:v>Beta Facilities</x:v>
      </x:c>
      <x:c r="H188" t="str">
        <x:v>DOC-25-11-007</x:v>
      </x:c>
      <x:c r="I188" s="8" t="n">
        <x:v>5536.66</x:v>
      </x:c>
      <x:c r="J188" t="str">
        <x:v>Confirmado</x:v>
      </x:c>
      <x:c r="K188" t="str">
        <x:v>Pagamento operacional</x:v>
      </x:c>
    </x:row>
    <x:row r="189" ht="21" customHeight="1">
      <x:c r="A189" t="str">
        <x:v>FIN-0188</x:v>
      </x:c>
      <x:c r="B189" s="10" t="n">
        <x:v>45971</x:v>
      </x:c>
      <x:c r="C189" t="n">
        <x:v>11</x:v>
      </x:c>
      <x:c r="D189" t="str">
        <x:v>Despesa</x:v>
      </x:c>
      <x:c r="E189" t="str">
        <x:v>Jurídico</x:v>
      </x:c>
      <x:c r="F189" t="str">
        <x:v>Hardware</x:v>
      </x:c>
      <x:c r="G189" t="str">
        <x:v>Sigma Consultoria</x:v>
      </x:c>
      <x:c r="H189" t="str">
        <x:v>DOC-25-11-008</x:v>
      </x:c>
      <x:c r="I189" s="8" t="n">
        <x:v>6458.42</x:v>
      </x:c>
      <x:c r="J189" t="str">
        <x:v>Confirmado</x:v>
      </x:c>
      <x:c r="K189" t="str">
        <x:v>Pagamento operacional</x:v>
      </x:c>
    </x:row>
    <x:row r="190" ht="21" customHeight="1">
      <x:c r="A190" t="str">
        <x:v>FIN-0189</x:v>
      </x:c>
      <x:c r="B190" s="10" t="n">
        <x:v>45972</x:v>
      </x:c>
      <x:c r="C190" t="n">
        <x:v>11</x:v>
      </x:c>
      <x:c r="D190" t="str">
        <x:v>Despesa</x:v>
      </x:c>
      <x:c r="E190" t="str">
        <x:v>TI</x:v>
      </x:c>
      <x:c r="F190" t="str">
        <x:v>Software</x:v>
      </x:c>
      <x:c r="G190" t="str">
        <x:v>Orion Datacenter</x:v>
      </x:c>
      <x:c r="H190" t="str">
        <x:v>DOC-25-11-009</x:v>
      </x:c>
      <x:c r="I190" s="8" t="n">
        <x:v>12620.45</x:v>
      </x:c>
      <x:c r="J190" t="str">
        <x:v>Confirmado</x:v>
      </x:c>
      <x:c r="K190" t="str">
        <x:v>Pagamento operacional</x:v>
      </x:c>
    </x:row>
    <x:row r="191" ht="21" customHeight="1">
      <x:c r="A191" t="str">
        <x:v>FIN-0190</x:v>
      </x:c>
      <x:c r="B191" s="10" t="n">
        <x:v>45973</x:v>
      </x:c>
      <x:c r="C191" t="n">
        <x:v>11</x:v>
      </x:c>
      <x:c r="D191" t="str">
        <x:v>Despesa</x:v>
      </x:c>
      <x:c r="E191" t="str">
        <x:v>Financeiro</x:v>
      </x:c>
      <x:c r="F191" t="str">
        <x:v>Serviços terceirizados</x:v>
      </x:c>
      <x:c r="G191" t="str">
        <x:v>Lumina Energia</x:v>
      </x:c>
      <x:c r="H191" t="str">
        <x:v>DOC-25-11-010</x:v>
      </x:c>
      <x:c r="I191" s="8" t="n">
        <x:v>8182.4</x:v>
      </x:c>
      <x:c r="J191" t="str">
        <x:v>Confirmado</x:v>
      </x:c>
      <x:c r="K191" t="str">
        <x:v>Pagamento operacional</x:v>
      </x:c>
    </x:row>
    <x:row r="192" ht="21" customHeight="1">
      <x:c r="A192" t="str">
        <x:v>FIN-0191</x:v>
      </x:c>
      <x:c r="B192" s="10" t="n">
        <x:v>45974</x:v>
      </x:c>
      <x:c r="C192" t="n">
        <x:v>11</x:v>
      </x:c>
      <x:c r="D192" t="str">
        <x:v>Despesa</x:v>
      </x:c>
      <x:c r="E192" t="str">
        <x:v>RH</x:v>
      </x:c>
      <x:c r="F192" t="str">
        <x:v>Marketing</x:v>
      </x:c>
      <x:c r="G192" t="str">
        <x:v>Atlas Software</x:v>
      </x:c>
      <x:c r="H192" t="str">
        <x:v>DOC-25-11-011</x:v>
      </x:c>
      <x:c r="I192" s="8" t="n">
        <x:v>9536.31</x:v>
      </x:c>
      <x:c r="J192" t="str">
        <x:v>Confirmado</x:v>
      </x:c>
      <x:c r="K192" t="str">
        <x:v>Pagamento operacional</x:v>
      </x:c>
    </x:row>
    <x:row r="193" ht="21" customHeight="1">
      <x:c r="A193" t="str">
        <x:v>FIN-0192</x:v>
      </x:c>
      <x:c r="B193" s="10" t="n">
        <x:v>45975</x:v>
      </x:c>
      <x:c r="C193" t="n">
        <x:v>11</x:v>
      </x:c>
      <x:c r="D193" t="str">
        <x:v>Despesa</x:v>
      </x:c>
      <x:c r="E193" t="str">
        <x:v>Marketing</x:v>
      </x:c>
      <x:c r="F193" t="str">
        <x:v>Telefonia</x:v>
      </x:c>
      <x:c r="G193" t="str">
        <x:v>Ponte Digital</x:v>
      </x:c>
      <x:c r="H193" t="str">
        <x:v>DOC-25-11-012</x:v>
      </x:c>
      <x:c r="I193" s="8" t="n">
        <x:v>22143.11</x:v>
      </x:c>
      <x:c r="J193" t="str">
        <x:v>Confirmado</x:v>
      </x:c>
      <x:c r="K193" t="str">
        <x:v>Pagamento operacional</x:v>
      </x:c>
    </x:row>
    <x:row r="194" ht="21" customHeight="1">
      <x:c r="A194" t="str">
        <x:v>FIN-0193</x:v>
      </x:c>
      <x:c r="B194" s="10" t="n">
        <x:v>45976</x:v>
      </x:c>
      <x:c r="C194" t="n">
        <x:v>11</x:v>
      </x:c>
      <x:c r="D194" t="str">
        <x:v>Despesa</x:v>
      </x:c>
      <x:c r="E194" t="str">
        <x:v>Operações</x:v>
      </x:c>
      <x:c r="F194" t="str">
        <x:v>Energia</x:v>
      </x:c>
      <x:c r="G194" t="str">
        <x:v>Solidez Infra</x:v>
      </x:c>
      <x:c r="H194" t="str">
        <x:v>DOC-25-11-013</x:v>
      </x:c>
      <x:c r="I194" s="8" t="n">
        <x:v>22172.24</x:v>
      </x:c>
      <x:c r="J194" t="str">
        <x:v>Confirmado</x:v>
      </x:c>
      <x:c r="K194" t="str">
        <x:v>Pagamento operacional</x:v>
      </x:c>
    </x:row>
    <x:row r="195" ht="21" customHeight="1">
      <x:c r="A195" t="str">
        <x:v>FIN-0194</x:v>
      </x:c>
      <x:c r="B195" s="10" t="n">
        <x:v>45977</x:v>
      </x:c>
      <x:c r="C195" t="n">
        <x:v>11</x:v>
      </x:c>
      <x:c r="D195" t="str">
        <x:v>Despesa</x:v>
      </x:c>
      <x:c r="E195" t="str">
        <x:v>Comercial</x:v>
      </x:c>
      <x:c r="F195" t="str">
        <x:v>Manutenção</x:v>
      </x:c>
      <x:c r="G195" t="str">
        <x:v>Alfa Tecnologia</x:v>
      </x:c>
      <x:c r="H195" t="str">
        <x:v>DOC-25-11-014</x:v>
      </x:c>
      <x:c r="I195" s="8" t="n">
        <x:v>12159.03</x:v>
      </x:c>
      <x:c r="J195" t="str">
        <x:v>Confirmado</x:v>
      </x:c>
      <x:c r="K195" t="str">
        <x:v>Pagamento operacional</x:v>
      </x:c>
    </x:row>
    <x:row r="196" ht="21" customHeight="1">
      <x:c r="A196" t="str">
        <x:v>FIN-0195</x:v>
      </x:c>
      <x:c r="B196" s="10" t="n">
        <x:v>45978</x:v>
      </x:c>
      <x:c r="C196" t="n">
        <x:v>11</x:v>
      </x:c>
      <x:c r="D196" t="str">
        <x:v>Despesa</x:v>
      </x:c>
      <x:c r="E196" t="str">
        <x:v>Logística</x:v>
      </x:c>
      <x:c r="F196" t="str">
        <x:v>Viagens</x:v>
      </x:c>
      <x:c r="G196" t="str">
        <x:v>Delta Cloud</x:v>
      </x:c>
      <x:c r="H196" t="str">
        <x:v>DOC-25-11-015</x:v>
      </x:c>
      <x:c r="I196" s="8" t="n">
        <x:v>15132.86</x:v>
      </x:c>
      <x:c r="J196" t="str">
        <x:v>Confirmado</x:v>
      </x:c>
      <x:c r="K196" t="str">
        <x:v>Pagamento operacional</x:v>
      </x:c>
    </x:row>
    <x:row r="197" ht="21" customHeight="1">
      <x:c r="A197" t="str">
        <x:v>FIN-0196</x:v>
      </x:c>
      <x:c r="B197" s="10" t="n">
        <x:v>45979</x:v>
      </x:c>
      <x:c r="C197" t="n">
        <x:v>11</x:v>
      </x:c>
      <x:c r="D197" t="str">
        <x:v>Despesa</x:v>
      </x:c>
      <x:c r="E197" t="str">
        <x:v>Jurídico</x:v>
      </x:c>
      <x:c r="F197" t="str">
        <x:v>Consultoria</x:v>
      </x:c>
      <x:c r="G197" t="str">
        <x:v>Nexa Serviços</x:v>
      </x:c>
      <x:c r="H197" t="str">
        <x:v>DOC-25-11-016</x:v>
      </x:c>
      <x:c r="I197" s="8" t="n">
        <x:v>15554.47</x:v>
      </x:c>
      <x:c r="J197" t="str">
        <x:v>Confirmado</x:v>
      </x:c>
      <x:c r="K197" t="str">
        <x:v>Pagamento operacional</x:v>
      </x:c>
    </x:row>
    <x:row r="198" ht="21" customHeight="1">
      <x:c r="A198" t="str">
        <x:v>FIN-0197</x:v>
      </x:c>
      <x:c r="B198" s="10" t="n">
        <x:v>45980</x:v>
      </x:c>
      <x:c r="C198" t="n">
        <x:v>11</x:v>
      </x:c>
      <x:c r="D198" t="str">
        <x:v>Despesa</x:v>
      </x:c>
      <x:c r="E198" t="str">
        <x:v>TI</x:v>
      </x:c>
      <x:c r="F198" t="str">
        <x:v>Licenças</x:v>
      </x:c>
      <x:c r="G198" t="str">
        <x:v>Omega Telecom</x:v>
      </x:c>
      <x:c r="H198" t="str">
        <x:v>DOC-25-11-017</x:v>
      </x:c>
      <x:c r="I198" s="8" t="n">
        <x:v>30290.75</x:v>
      </x:c>
      <x:c r="J198" t="str">
        <x:v>Confirmado</x:v>
      </x:c>
      <x:c r="K198" t="str">
        <x:v>Pagamento operacional</x:v>
      </x:c>
    </x:row>
    <x:row r="199" ht="21" customHeight="1">
      <x:c r="A199" t="str">
        <x:v>FIN-0198</x:v>
      </x:c>
      <x:c r="B199" s="10" t="n">
        <x:v>45981</x:v>
      </x:c>
      <x:c r="C199" t="n">
        <x:v>11</x:v>
      </x:c>
      <x:c r="D199" t="str">
        <x:v>Despesa</x:v>
      </x:c>
      <x:c r="E199" t="str">
        <x:v>Financeiro</x:v>
      </x:c>
      <x:c r="F199" t="str">
        <x:v>Logística</x:v>
      </x:c>
      <x:c r="G199" t="str">
        <x:v>Vértice Suprimentos</x:v>
      </x:c>
      <x:c r="H199" t="str">
        <x:v>DOC-25-11-018</x:v>
      </x:c>
      <x:c r="I199" s="8" t="n">
        <x:v>15928.06</x:v>
      </x:c>
      <x:c r="J199" t="str">
        <x:v>Confirmado</x:v>
      </x:c>
      <x:c r="K199" t="str">
        <x:v>Pagamento operacional</x:v>
      </x:c>
    </x:row>
    <x:row r="200" ht="21" customHeight="1">
      <x:c r="A200" t="str">
        <x:v>FIN-0199</x:v>
      </x:c>
      <x:c r="B200" s="10" t="n">
        <x:v>45994</x:v>
      </x:c>
      <x:c r="C200" t="n">
        <x:v>12</x:v>
      </x:c>
      <x:c r="D200" t="str">
        <x:v>Receita</x:v>
      </x:c>
      <x:c r="E200" t="str">
        <x:v>TI</x:v>
      </x:c>
      <x:c r="F200" t="str">
        <x:v>Venda de serviços</x:v>
      </x:c>
      <x:c r="G200" t="str">
        <x:v>Cliente 1</x:v>
      </x:c>
      <x:c r="H200" t="str">
        <x:v>DOC-25-12-001</x:v>
      </x:c>
      <x:c r="I200" s="8" t="n">
        <x:v>24535.6</x:v>
      </x:c>
      <x:c r="J200" t="str">
        <x:v>Confirmado</x:v>
      </x:c>
      <x:c r="K200" t="str">
        <x:v>Lançamento contábil</x:v>
      </x:c>
    </x:row>
    <x:row r="201" ht="21" customHeight="1">
      <x:c r="A201" t="str">
        <x:v>FIN-0200</x:v>
      </x:c>
      <x:c r="B201" s="10" t="n">
        <x:v>45995</x:v>
      </x:c>
      <x:c r="C201" t="n">
        <x:v>12</x:v>
      </x:c>
      <x:c r="D201" t="str">
        <x:v>Receita</x:v>
      </x:c>
      <x:c r="E201" t="str">
        <x:v>Financeiro</x:v>
      </x:c>
      <x:c r="F201" t="str">
        <x:v>Receita recorrente</x:v>
      </x:c>
      <x:c r="G201" t="str">
        <x:v>Cliente 2</x:v>
      </x:c>
      <x:c r="H201" t="str">
        <x:v>DOC-25-12-002</x:v>
      </x:c>
      <x:c r="I201" s="8" t="n">
        <x:v>24062.79</x:v>
      </x:c>
      <x:c r="J201" t="str">
        <x:v>Confirmado</x:v>
      </x:c>
      <x:c r="K201" t="str">
        <x:v>Lançamento contábil</x:v>
      </x:c>
    </x:row>
    <x:row r="202" ht="21" customHeight="1">
      <x:c r="A202" t="str">
        <x:v>FIN-0201</x:v>
      </x:c>
      <x:c r="B202" s="10" t="n">
        <x:v>45996</x:v>
      </x:c>
      <x:c r="C202" t="n">
        <x:v>12</x:v>
      </x:c>
      <x:c r="D202" t="str">
        <x:v>Receita</x:v>
      </x:c>
      <x:c r="E202" t="str">
        <x:v>RH</x:v>
      </x:c>
      <x:c r="F202" t="str">
        <x:v>Projetos</x:v>
      </x:c>
      <x:c r="G202" t="str">
        <x:v>Cliente 3</x:v>
      </x:c>
      <x:c r="H202" t="str">
        <x:v>DOC-25-12-003</x:v>
      </x:c>
      <x:c r="I202" s="8" t="n">
        <x:v>26203.09</x:v>
      </x:c>
      <x:c r="J202" t="str">
        <x:v>Confirmado</x:v>
      </x:c>
      <x:c r="K202" t="str">
        <x:v>Lançamento contábil</x:v>
      </x:c>
    </x:row>
    <x:row r="203" ht="21" customHeight="1">
      <x:c r="A203" t="str">
        <x:v>FIN-0202</x:v>
      </x:c>
      <x:c r="B203" s="10" t="n">
        <x:v>45997</x:v>
      </x:c>
      <x:c r="C203" t="n">
        <x:v>12</x:v>
      </x:c>
      <x:c r="D203" t="str">
        <x:v>Receita</x:v>
      </x:c>
      <x:c r="E203" t="str">
        <x:v>Marketing</x:v>
      </x:c>
      <x:c r="F203" t="str">
        <x:v>Licenciamento</x:v>
      </x:c>
      <x:c r="G203" t="str">
        <x:v>Cliente 4</x:v>
      </x:c>
      <x:c r="H203" t="str">
        <x:v>DOC-25-12-004</x:v>
      </x:c>
      <x:c r="I203" s="8" t="n">
        <x:v>28947.96</x:v>
      </x:c>
      <x:c r="J203" t="str">
        <x:v>Confirmado</x:v>
      </x:c>
      <x:c r="K203" t="str">
        <x:v>Lançamento contábil</x:v>
      </x:c>
    </x:row>
    <x:row r="204" ht="21" customHeight="1">
      <x:c r="A204" t="str">
        <x:v>FIN-0203</x:v>
      </x:c>
      <x:c r="B204" s="10" t="n">
        <x:v>45998</x:v>
      </x:c>
      <x:c r="C204" t="n">
        <x:v>12</x:v>
      </x:c>
      <x:c r="D204" t="str">
        <x:v>Receita</x:v>
      </x:c>
      <x:c r="E204" t="str">
        <x:v>Operações</x:v>
      </x:c>
      <x:c r="F204" t="str">
        <x:v>Serviços gerenciados</x:v>
      </x:c>
      <x:c r="G204" t="str">
        <x:v>Cliente 5</x:v>
      </x:c>
      <x:c r="H204" t="str">
        <x:v>DOC-25-12-005</x:v>
      </x:c>
      <x:c r="I204" s="8" t="n">
        <x:v>34540.39</x:v>
      </x:c>
      <x:c r="J204" t="str">
        <x:v>Confirmado</x:v>
      </x:c>
      <x:c r="K204" t="str">
        <x:v>Lançamento contábil</x:v>
      </x:c>
    </x:row>
    <x:row r="205" ht="21" customHeight="1">
      <x:c r="A205" t="str">
        <x:v>FIN-0204</x:v>
      </x:c>
      <x:c r="B205" s="10" t="n">
        <x:v>45999</x:v>
      </x:c>
      <x:c r="C205" t="n">
        <x:v>12</x:v>
      </x:c>
      <x:c r="D205" t="str">
        <x:v>Receita</x:v>
      </x:c>
      <x:c r="E205" t="str">
        <x:v>Comercial</x:v>
      </x:c>
      <x:c r="F205" t="str">
        <x:v>Treinamentos</x:v>
      </x:c>
      <x:c r="G205" t="str">
        <x:v>Cliente 6</x:v>
      </x:c>
      <x:c r="H205" t="str">
        <x:v>DOC-25-12-006</x:v>
      </x:c>
      <x:c r="I205" s="8" t="n">
        <x:v>34703.3</x:v>
      </x:c>
      <x:c r="J205" t="str">
        <x:v>Confirmado</x:v>
      </x:c>
      <x:c r="K205" t="str">
        <x:v>Lançamento contábil</x:v>
      </x:c>
    </x:row>
    <x:row r="206" ht="21" customHeight="1">
      <x:c r="A206" t="str">
        <x:v>FIN-0205</x:v>
      </x:c>
      <x:c r="B206" s="10" t="n">
        <x:v>46000</x:v>
      </x:c>
      <x:c r="C206" t="n">
        <x:v>12</x:v>
      </x:c>
      <x:c r="D206" t="str">
        <x:v>Despesa</x:v>
      </x:c>
      <x:c r="E206" t="str">
        <x:v>Logística</x:v>
      </x:c>
      <x:c r="F206" t="str">
        <x:v>Cloud</x:v>
      </x:c>
      <x:c r="G206" t="str">
        <x:v>Sigma Consultoria</x:v>
      </x:c>
      <x:c r="H206" t="str">
        <x:v>DOC-25-12-007</x:v>
      </x:c>
      <x:c r="I206" s="8" t="n">
        <x:v>5164.32</x:v>
      </x:c>
      <x:c r="J206" t="str">
        <x:v>Confirmado</x:v>
      </x:c>
      <x:c r="K206" t="str">
        <x:v>Pagamento operacional</x:v>
      </x:c>
    </x:row>
    <x:row r="207" ht="21" customHeight="1">
      <x:c r="A207" t="str">
        <x:v>FIN-0206</x:v>
      </x:c>
      <x:c r="B207" s="10" t="n">
        <x:v>46001</x:v>
      </x:c>
      <x:c r="C207" t="n">
        <x:v>12</x:v>
      </x:c>
      <x:c r="D207" t="str">
        <x:v>Despesa</x:v>
      </x:c>
      <x:c r="E207" t="str">
        <x:v>Jurídico</x:v>
      </x:c>
      <x:c r="F207" t="str">
        <x:v>Hardware</x:v>
      </x:c>
      <x:c r="G207" t="str">
        <x:v>Orion Datacenter</x:v>
      </x:c>
      <x:c r="H207" t="str">
        <x:v>DOC-25-12-008</x:v>
      </x:c>
      <x:c r="I207" s="8" t="n">
        <x:v>6197.92</x:v>
      </x:c>
      <x:c r="J207" t="str">
        <x:v>Confirmado</x:v>
      </x:c>
      <x:c r="K207" t="str">
        <x:v>Pagamento operacional</x:v>
      </x:c>
    </x:row>
    <x:row r="208" ht="21" customHeight="1">
      <x:c r="A208" t="str">
        <x:v>FIN-0207</x:v>
      </x:c>
      <x:c r="B208" s="10" t="n">
        <x:v>46002</x:v>
      </x:c>
      <x:c r="C208" t="n">
        <x:v>12</x:v>
      </x:c>
      <x:c r="D208" t="str">
        <x:v>Despesa</x:v>
      </x:c>
      <x:c r="E208" t="str">
        <x:v>TI</x:v>
      </x:c>
      <x:c r="F208" t="str">
        <x:v>Software</x:v>
      </x:c>
      <x:c r="G208" t="str">
        <x:v>Lumina Energia</x:v>
      </x:c>
      <x:c r="H208" t="str">
        <x:v>DOC-25-12-009</x:v>
      </x:c>
      <x:c r="I208" s="8" t="n">
        <x:v>7529.18</x:v>
      </x:c>
      <x:c r="J208" t="str">
        <x:v>Confirmado</x:v>
      </x:c>
      <x:c r="K208" t="str">
        <x:v>Pagamento operacional</x:v>
      </x:c>
    </x:row>
    <x:row r="209" ht="21" customHeight="1">
      <x:c r="A209" t="str">
        <x:v>FIN-0208</x:v>
      </x:c>
      <x:c r="B209" s="10" t="n">
        <x:v>46003</x:v>
      </x:c>
      <x:c r="C209" t="n">
        <x:v>12</x:v>
      </x:c>
      <x:c r="D209" t="str">
        <x:v>Despesa</x:v>
      </x:c>
      <x:c r="E209" t="str">
        <x:v>Financeiro</x:v>
      </x:c>
      <x:c r="F209" t="str">
        <x:v>Serviços terceirizados</x:v>
      </x:c>
      <x:c r="G209" t="str">
        <x:v>Atlas Software</x:v>
      </x:c>
      <x:c r="H209" t="str">
        <x:v>DOC-25-12-010</x:v>
      </x:c>
      <x:c r="I209" s="8" t="n">
        <x:v>8447.76</x:v>
      </x:c>
      <x:c r="J209" t="str">
        <x:v>Confirmado</x:v>
      </x:c>
      <x:c r="K209" t="str">
        <x:v>Pagamento operacional</x:v>
      </x:c>
    </x:row>
    <x:row r="210" ht="21" customHeight="1">
      <x:c r="A210" t="str">
        <x:v>FIN-0209</x:v>
      </x:c>
      <x:c r="B210" s="10" t="n">
        <x:v>46004</x:v>
      </x:c>
      <x:c r="C210" t="n">
        <x:v>12</x:v>
      </x:c>
      <x:c r="D210" t="str">
        <x:v>Despesa</x:v>
      </x:c>
      <x:c r="E210" t="str">
        <x:v>RH</x:v>
      </x:c>
      <x:c r="F210" t="str">
        <x:v>Marketing</x:v>
      </x:c>
      <x:c r="G210" t="str">
        <x:v>Ponte Digital</x:v>
      </x:c>
      <x:c r="H210" t="str">
        <x:v>DOC-25-12-011</x:v>
      </x:c>
      <x:c r="I210" s="8" t="n">
        <x:v>9829.45</x:v>
      </x:c>
      <x:c r="J210" t="str">
        <x:v>Confirmado</x:v>
      </x:c>
      <x:c r="K210" t="str">
        <x:v>Pagamento operacional</x:v>
      </x:c>
    </x:row>
    <x:row r="211" ht="21" customHeight="1">
      <x:c r="A211" t="str">
        <x:v>FIN-0210</x:v>
      </x:c>
      <x:c r="B211" s="10" t="n">
        <x:v>46005</x:v>
      </x:c>
      <x:c r="C211" t="n">
        <x:v>12</x:v>
      </x:c>
      <x:c r="D211" t="str">
        <x:v>Despesa</x:v>
      </x:c>
      <x:c r="E211" t="str">
        <x:v>Marketing</x:v>
      </x:c>
      <x:c r="F211" t="str">
        <x:v>Telefonia</x:v>
      </x:c>
      <x:c r="G211" t="str">
        <x:v>Solidez Infra</x:v>
      </x:c>
      <x:c r="H211" t="str">
        <x:v>DOC-25-12-012</x:v>
      </x:c>
      <x:c r="I211" s="8" t="n">
        <x:v>11333.67</x:v>
      </x:c>
      <x:c r="J211" t="str">
        <x:v>Confirmado</x:v>
      </x:c>
      <x:c r="K211" t="str">
        <x:v>Pagamento operacional</x:v>
      </x:c>
    </x:row>
    <x:row r="212" ht="21" customHeight="1">
      <x:c r="A212" t="str">
        <x:v>FIN-0211</x:v>
      </x:c>
      <x:c r="B212" s="10" t="n">
        <x:v>46006</x:v>
      </x:c>
      <x:c r="C212" t="n">
        <x:v>12</x:v>
      </x:c>
      <x:c r="D212" t="str">
        <x:v>Despesa</x:v>
      </x:c>
      <x:c r="E212" t="str">
        <x:v>Operações</x:v>
      </x:c>
      <x:c r="F212" t="str">
        <x:v>Energia</x:v>
      </x:c>
      <x:c r="G212" t="str">
        <x:v>Alfa Tecnologia</x:v>
      </x:c>
      <x:c r="H212" t="str">
        <x:v>DOC-25-12-013</x:v>
      </x:c>
      <x:c r="I212" s="8" t="n">
        <x:v>12332.82</x:v>
      </x:c>
      <x:c r="J212" t="str">
        <x:v>Confirmado</x:v>
      </x:c>
      <x:c r="K212" t="str">
        <x:v>Pagamento operacional</x:v>
      </x:c>
    </x:row>
    <x:row r="213" ht="21" customHeight="1">
      <x:c r="A213" t="str">
        <x:v>FIN-0212</x:v>
      </x:c>
      <x:c r="B213" s="10" t="n">
        <x:v>46007</x:v>
      </x:c>
      <x:c r="C213" t="n">
        <x:v>12</x:v>
      </x:c>
      <x:c r="D213" t="str">
        <x:v>Despesa</x:v>
      </x:c>
      <x:c r="E213" t="str">
        <x:v>Comercial</x:v>
      </x:c>
      <x:c r="F213" t="str">
        <x:v>Manutenção</x:v>
      </x:c>
      <x:c r="G213" t="str">
        <x:v>Delta Cloud</x:v>
      </x:c>
      <x:c r="H213" t="str">
        <x:v>DOC-25-12-014</x:v>
      </x:c>
      <x:c r="I213" s="8" t="n">
        <x:v>12258.89</x:v>
      </x:c>
      <x:c r="J213" t="str">
        <x:v>Confirmado</x:v>
      </x:c>
      <x:c r="K213" t="str">
        <x:v>Pagamento operacional</x:v>
      </x:c>
    </x:row>
    <x:row r="214" ht="21" customHeight="1">
      <x:c r="A214" t="str">
        <x:v>FIN-0213</x:v>
      </x:c>
      <x:c r="B214" s="10" t="n">
        <x:v>46008</x:v>
      </x:c>
      <x:c r="C214" t="n">
        <x:v>12</x:v>
      </x:c>
      <x:c r="D214" t="str">
        <x:v>Despesa</x:v>
      </x:c>
      <x:c r="E214" t="str">
        <x:v>Logística</x:v>
      </x:c>
      <x:c r="F214" t="str">
        <x:v>Viagens</x:v>
      </x:c>
      <x:c r="G214" t="str">
        <x:v>Nexa Serviços</x:v>
      </x:c>
      <x:c r="H214" t="str">
        <x:v>DOC-25-12-015</x:v>
      </x:c>
      <x:c r="I214" s="8" t="n">
        <x:v>12766.29</x:v>
      </x:c>
      <x:c r="J214" t="str">
        <x:v>Confirmado</x:v>
      </x:c>
      <x:c r="K214" t="str">
        <x:v>Pagamento operacional</x:v>
      </x:c>
    </x:row>
    <x:row r="215" ht="21" customHeight="1">
      <x:c r="A215" t="str">
        <x:v>FIN-0214</x:v>
      </x:c>
      <x:c r="B215" s="10" t="n">
        <x:v>46009</x:v>
      </x:c>
      <x:c r="C215" t="n">
        <x:v>12</x:v>
      </x:c>
      <x:c r="D215" t="str">
        <x:v>Despesa</x:v>
      </x:c>
      <x:c r="E215" t="str">
        <x:v>Jurídico</x:v>
      </x:c>
      <x:c r="F215" t="str">
        <x:v>Consultoria</x:v>
      </x:c>
      <x:c r="G215" t="str">
        <x:v>Omega Telecom</x:v>
      </x:c>
      <x:c r="H215" t="str">
        <x:v>DOC-25-12-016</x:v>
      </x:c>
      <x:c r="I215" s="8" t="n">
        <x:v>15451.07</x:v>
      </x:c>
      <x:c r="J215" t="str">
        <x:v>Confirmado</x:v>
      </x:c>
      <x:c r="K215" t="str">
        <x:v>Pagamento operacional</x:v>
      </x:c>
    </x:row>
    <x:row r="216" ht="21" customHeight="1">
      <x:c r="A216" t="str">
        <x:v>FIN-0215</x:v>
      </x:c>
      <x:c r="B216" s="10" t="n">
        <x:v>46010</x:v>
      </x:c>
      <x:c r="C216" t="n">
        <x:v>12</x:v>
      </x:c>
      <x:c r="D216" t="str">
        <x:v>Despesa</x:v>
      </x:c>
      <x:c r="E216" t="str">
        <x:v>TI</x:v>
      </x:c>
      <x:c r="F216" t="str">
        <x:v>Licenças</x:v>
      </x:c>
      <x:c r="G216" t="str">
        <x:v>Vértice Suprimentos</x:v>
      </x:c>
      <x:c r="H216" t="str">
        <x:v>DOC-25-12-017</x:v>
      </x:c>
      <x:c r="I216" s="8" t="n">
        <x:v>17172.84</x:v>
      </x:c>
      <x:c r="J216" t="str">
        <x:v>Confirmado</x:v>
      </x:c>
      <x:c r="K216" t="str">
        <x:v>Pagamento operacional</x:v>
      </x:c>
    </x:row>
    <x:row r="217" ht="21" customHeight="1">
      <x:c r="A217" t="str">
        <x:v>FIN-0216</x:v>
      </x:c>
      <x:c r="B217" s="10" t="n">
        <x:v>46011</x:v>
      </x:c>
      <x:c r="C217" t="n">
        <x:v>12</x:v>
      </x:c>
      <x:c r="D217" t="str">
        <x:v>Despesa</x:v>
      </x:c>
      <x:c r="E217" t="str">
        <x:v>Financeiro</x:v>
      </x:c>
      <x:c r="F217" t="str">
        <x:v>Logística</x:v>
      </x:c>
      <x:c r="G217" t="str">
        <x:v>Beta Facilities</x:v>
      </x:c>
      <x:c r="H217" t="str">
        <x:v>DOC-25-12-018</x:v>
      </x:c>
      <x:c r="I217" s="8" t="n">
        <x:v>16181.22</x:v>
      </x:c>
      <x:c r="J217" t="str">
        <x:v>Confirmado</x:v>
      </x:c>
      <x:c r="K217" t="str">
        <x:v>Pagamento operacional</x:v>
      </x:c>
    </x:row>
  </x:sheetData>
  <x:pageMargins left="0.7" right="0.7" top="0.75" bottom="0.75" header="0.3" footer="0.3"/>
  <x:tableParts count="1">
    <x:tablePart xmlns:r="http://schemas.openxmlformats.org/officeDocument/2006/relationships" r:id="Rede9e91648fe44d0"/>
  </x:tableParts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8" hidden="0" customWidth="1"/>
    <x:col min="3" max="3" width="9" hidden="0" customWidth="1"/>
    <x:col min="4" max="4" width="20" hidden="0" customWidth="1"/>
    <x:col min="5" max="5" width="19" hidden="0" customWidth="1"/>
    <x:col min="6" max="6" width="20" hidden="0" customWidth="1"/>
    <x:col min="7" max="7" width="19" hidden="0" customWidth="1"/>
    <x:col min="8" max="8" width="17" hidden="0" customWidth="1"/>
    <x:col min="9" max="9" width="16" hidden="0" customWidth="1"/>
  </x:cols>
  <x:sheetData>
    <x:row r="1" ht="30" customHeight="1">
      <x:c r="A1" s="4" t="str">
        <x:v>ID</x:v>
      </x:c>
      <x:c r="B1" s="4" t="str">
        <x:v>Competência</x:v>
      </x:c>
      <x:c r="C1" s="4" t="str">
        <x:v>Mês</x:v>
      </x:c>
      <x:c r="D1" s="4" t="str">
        <x:v>Departamento</x:v>
      </x:c>
      <x:c r="E1" s="4" t="str">
        <x:v>Orçado (R$)</x:v>
      </x:c>
      <x:c r="F1" s="4" t="str">
        <x:v>Realizado (R$)</x:v>
      </x:c>
      <x:c r="G1" s="4" t="str">
        <x:v>Desvio (R$)</x:v>
      </x:c>
      <x:c r="H1" s="4" t="str">
        <x:v>Desvio (%)</x:v>
      </x:c>
      <x:c r="I1" s="4" t="str">
        <x:v>Status</x:v>
      </x:c>
    </x:row>
    <x:row r="2" ht="21" customHeight="1">
      <x:c r="A2" t="str">
        <x:v>ORC-001</x:v>
      </x:c>
      <x:c r="B2" s="10" t="n">
        <x:v>45658</x:v>
      </x:c>
      <x:c r="C2" t="n">
        <x:v>1</x:v>
      </x:c>
      <x:c r="D2" t="str">
        <x:v>TI</x:v>
      </x:c>
      <x:c r="E2" s="8" t="n">
        <x:v>18100</x:v>
      </x:c>
      <x:c r="F2" s="8" t="n">
        <x:f>SUMIFS(Financeiro!$I$2:$I$217,Financeiro!$C$2:$C$217,C2,Financeiro!$E$2:$E$217,D2,Financeiro!$D$2:$D$217,"Despesa")</x:f>
        <x:v>18987.89</x:v>
      </x:c>
      <x:c r="G2" s="8" t="n">
        <x:f>F2-E2</x:f>
        <x:v>887.8899999999994</x:v>
      </x:c>
      <x:c r="H2" s="12" t="n">
        <x:f>IF(E2=0,0,G2/E2)</x:f>
        <x:v>0.04905469613259665</x:v>
      </x:c>
      <x:c r="I2" t="str">
        <x:v>Aprovado</x:v>
      </x:c>
    </x:row>
    <x:row r="3" ht="21" customHeight="1">
      <x:c r="A3" t="str">
        <x:v>ORC-002</x:v>
      </x:c>
      <x:c r="B3" s="10" t="n">
        <x:v>45658</x:v>
      </x:c>
      <x:c r="C3" t="n">
        <x:v>1</x:v>
      </x:c>
      <x:c r="D3" t="str">
        <x:v>Financeiro</x:v>
      </x:c>
      <x:c r="E3" s="8" t="n">
        <x:v>21100</x:v>
      </x:c>
      <x:c r="F3" s="8" t="n">
        <x:f>SUMIFS(Financeiro!$I$2:$I$217,Financeiro!$C$2:$C$217,C3,Financeiro!$E$2:$E$217,D3,Financeiro!$D$2:$D$217,"Despesa")</x:f>
        <x:v>22130.63</x:v>
      </x:c>
      <x:c r="G3" s="8" t="n">
        <x:f>F3-E3</x:f>
        <x:v>1030.630000000001</x:v>
      </x:c>
      <x:c r="H3" s="12" t="n">
        <x:f>IF(E3=0,0,G3/E3)</x:f>
        <x:v>0.04884502369668251</x:v>
      </x:c>
      <x:c r="I3" t="str">
        <x:v>Aprovado</x:v>
      </x:c>
    </x:row>
    <x:row r="4" ht="21" customHeight="1">
      <x:c r="A4" t="str">
        <x:v>ORC-003</x:v>
      </x:c>
      <x:c r="B4" s="10" t="n">
        <x:v>45658</x:v>
      </x:c>
      <x:c r="C4" t="n">
        <x:v>1</x:v>
      </x:c>
      <x:c r="D4" t="str">
        <x:v>RH</x:v>
      </x:c>
      <x:c r="E4" s="8" t="n">
        <x:v>10200</x:v>
      </x:c>
      <x:c r="F4" s="8" t="n">
        <x:f>SUMIFS(Financeiro!$I$2:$I$217,Financeiro!$C$2:$C$217,C4,Financeiro!$E$2:$E$217,D4,Financeiro!$D$2:$D$217,"Despesa")</x:f>
        <x:v>8890.9</x:v>
      </x:c>
      <x:c r="G4" s="8" t="n">
        <x:f>F4-E4</x:f>
        <x:v>-1309.1000000000004</x:v>
      </x:c>
      <x:c r="H4" s="12" t="n">
        <x:f>IF(E4=0,0,G4/E4)</x:f>
        <x:v>-0.12834313725490198</x:v>
      </x:c>
      <x:c r="I4" t="str">
        <x:v>Aprovado</x:v>
      </x:c>
    </x:row>
    <x:row r="5" ht="21" customHeight="1">
      <x:c r="A5" t="str">
        <x:v>ORC-004</x:v>
      </x:c>
      <x:c r="B5" s="10" t="n">
        <x:v>45658</x:v>
      </x:c>
      <x:c r="C5" t="n">
        <x:v>1</x:v>
      </x:c>
      <x:c r="D5" t="str">
        <x:v>Marketing</x:v>
      </x:c>
      <x:c r="E5" s="8" t="n">
        <x:v>9100</x:v>
      </x:c>
      <x:c r="F5" s="8" t="n">
        <x:f>SUMIFS(Financeiro!$I$2:$I$217,Financeiro!$C$2:$C$217,C5,Financeiro!$E$2:$E$217,D5,Financeiro!$D$2:$D$217,"Despesa")</x:f>
        <x:v>8782.06</x:v>
      </x:c>
      <x:c r="G5" s="8" t="n">
        <x:f>F5-E5</x:f>
        <x:v>-317.9400000000005</x:v>
      </x:c>
      <x:c r="H5" s="12" t="n">
        <x:f>IF(E5=0,0,G5/E5)</x:f>
        <x:v>-0.03493846153846159</x:v>
      </x:c>
      <x:c r="I5" t="str">
        <x:v>Aprovado</x:v>
      </x:c>
    </x:row>
    <x:row r="6" ht="21" customHeight="1">
      <x:c r="A6" t="str">
        <x:v>ORC-005</x:v>
      </x:c>
      <x:c r="B6" s="10" t="n">
        <x:v>45658</x:v>
      </x:c>
      <x:c r="C6" t="n">
        <x:v>1</x:v>
      </x:c>
      <x:c r="D6" t="str">
        <x:v>Operações</x:v>
      </x:c>
      <x:c r="E6" s="8" t="n">
        <x:v>11000</x:v>
      </x:c>
      <x:c r="F6" s="8" t="n">
        <x:f>SUMIFS(Financeiro!$I$2:$I$217,Financeiro!$C$2:$C$217,C6,Financeiro!$E$2:$E$217,D6,Financeiro!$D$2:$D$217,"Despesa")</x:f>
        <x:v>10575.03</x:v>
      </x:c>
      <x:c r="G6" s="8" t="n">
        <x:f>F6-E6</x:f>
        <x:v>-424.96999999999935</x:v>
      </x:c>
      <x:c r="H6" s="12" t="n">
        <x:f>IF(E6=0,0,G6/E6)</x:f>
        <x:v>-0.03863363636363631</x:v>
      </x:c>
      <x:c r="I6" t="str">
        <x:v>Aprovado</x:v>
      </x:c>
    </x:row>
    <x:row r="7" ht="21" customHeight="1">
      <x:c r="A7" t="str">
        <x:v>ORC-006</x:v>
      </x:c>
      <x:c r="B7" s="10" t="n">
        <x:v>45658</x:v>
      </x:c>
      <x:c r="C7" t="n">
        <x:v>1</x:v>
      </x:c>
      <x:c r="D7" t="str">
        <x:v>Comercial</x:v>
      </x:c>
      <x:c r="E7" s="8" t="n">
        <x:v>9600</x:v>
      </x:c>
      <x:c r="F7" s="8" t="n">
        <x:f>SUMIFS(Financeiro!$I$2:$I$217,Financeiro!$C$2:$C$217,C7,Financeiro!$E$2:$E$217,D7,Financeiro!$D$2:$D$217,"Despesa")</x:f>
        <x:v>10743.49</x:v>
      </x:c>
      <x:c r="G7" s="8" t="n">
        <x:f>F7-E7</x:f>
        <x:v>1143.4899999999998</x:v>
      </x:c>
      <x:c r="H7" s="12" t="n">
        <x:f>IF(E7=0,0,G7/E7)</x:f>
        <x:v>0.11911354166666664</x:v>
      </x:c>
      <x:c r="I7" t="str">
        <x:v>Aprovado</x:v>
      </x:c>
    </x:row>
    <x:row r="8" ht="21" customHeight="1">
      <x:c r="A8" t="str">
        <x:v>ORC-007</x:v>
      </x:c>
      <x:c r="B8" s="10" t="n">
        <x:v>45658</x:v>
      </x:c>
      <x:c r="C8" t="n">
        <x:v>1</x:v>
      </x:c>
      <x:c r="D8" t="str">
        <x:v>Logística</x:v>
      </x:c>
      <x:c r="E8" s="8" t="n">
        <x:v>14700</x:v>
      </x:c>
      <x:c r="F8" s="8" t="n">
        <x:f>SUMIFS(Financeiro!$I$2:$I$217,Financeiro!$C$2:$C$217,C8,Financeiro!$E$2:$E$217,D8,Financeiro!$D$2:$D$217,"Despesa")</x:f>
        <x:v>15471.64</x:v>
      </x:c>
      <x:c r="G8" s="8" t="n">
        <x:f>F8-E8</x:f>
        <x:v>771.6399999999994</x:v>
      </x:c>
      <x:c r="H8" s="12" t="n">
        <x:f>IF(E8=0,0,G8/E8)</x:f>
        <x:v>0.05249251700680268</x:v>
      </x:c>
      <x:c r="I8" t="str">
        <x:v>Aprovado</x:v>
      </x:c>
    </x:row>
    <x:row r="9" ht="21" customHeight="1">
      <x:c r="A9" t="str">
        <x:v>ORC-008</x:v>
      </x:c>
      <x:c r="B9" s="10" t="n">
        <x:v>45658</x:v>
      </x:c>
      <x:c r="C9" t="n">
        <x:v>1</x:v>
      </x:c>
      <x:c r="D9" t="str">
        <x:v>Jurídico</x:v>
      </x:c>
      <x:c r="E9" s="8" t="n">
        <x:v>18500</x:v>
      </x:c>
      <x:c r="F9" s="8" t="n">
        <x:f>SUMIFS(Financeiro!$I$2:$I$217,Financeiro!$C$2:$C$217,C9,Financeiro!$E$2:$E$217,D9,Financeiro!$D$2:$D$217,"Despesa")</x:f>
        <x:v>19432.550000000003</x:v>
      </x:c>
      <x:c r="G9" s="8" t="n">
        <x:f>F9-E9</x:f>
        <x:v>932.5500000000029</x:v>
      </x:c>
      <x:c r="H9" s="12" t="n">
        <x:f>IF(E9=0,0,G9/E9)</x:f>
        <x:v>0.050408108108108265</x:v>
      </x:c>
      <x:c r="I9" t="str">
        <x:v>Aprovado</x:v>
      </x:c>
    </x:row>
    <x:row r="10" ht="21" customHeight="1">
      <x:c r="A10" t="str">
        <x:v>ORC-009</x:v>
      </x:c>
      <x:c r="B10" s="10" t="n">
        <x:v>45689</x:v>
      </x:c>
      <x:c r="C10" t="n">
        <x:v>2</x:v>
      </x:c>
      <x:c r="D10" t="str">
        <x:v>TI</x:v>
      </x:c>
      <x:c r="E10" s="8" t="n">
        <x:v>16400</x:v>
      </x:c>
      <x:c r="F10" s="8" t="n">
        <x:f>SUMIFS(Financeiro!$I$2:$I$217,Financeiro!$C$2:$C$217,C10,Financeiro!$E$2:$E$217,D10,Financeiro!$D$2:$D$217,"Despesa")</x:f>
        <x:v>18314.72</x:v>
      </x:c>
      <x:c r="G10" s="8" t="n">
        <x:f>F10-E10</x:f>
        <x:v>1914.7200000000012</x:v>
      </x:c>
      <x:c r="H10" s="12" t="n">
        <x:f>IF(E10=0,0,G10/E10)</x:f>
        <x:v>0.11675121951219519</x:v>
      </x:c>
      <x:c r="I10" t="str">
        <x:v>Aprovado</x:v>
      </x:c>
    </x:row>
    <x:row r="11" ht="21" customHeight="1">
      <x:c r="A11" t="str">
        <x:v>ORC-010</x:v>
      </x:c>
      <x:c r="B11" s="10" t="n">
        <x:v>45689</x:v>
      </x:c>
      <x:c r="C11" t="n">
        <x:v>2</x:v>
      </x:c>
      <x:c r="D11" t="str">
        <x:v>Financeiro</x:v>
      </x:c>
      <x:c r="E11" s="8" t="n">
        <x:v>19200</x:v>
      </x:c>
      <x:c r="F11" s="8" t="n">
        <x:f>SUMIFS(Financeiro!$I$2:$I$217,Financeiro!$C$2:$C$217,C11,Financeiro!$E$2:$E$217,D11,Financeiro!$D$2:$D$217,"Despesa")</x:f>
        <x:v>20151.75</x:v>
      </x:c>
      <x:c r="G11" s="8" t="n">
        <x:f>F11-E11</x:f>
        <x:v>951.75</x:v>
      </x:c>
      <x:c r="H11" s="12" t="n">
        <x:f>IF(E11=0,0,G11/E11)</x:f>
        <x:v>0.0495703125</x:v>
      </x:c>
      <x:c r="I11" t="str">
        <x:v>Aprovado</x:v>
      </x:c>
    </x:row>
    <x:row r="12" ht="21" customHeight="1">
      <x:c r="A12" t="str">
        <x:v>ORC-011</x:v>
      </x:c>
      <x:c r="B12" s="10" t="n">
        <x:v>45689</x:v>
      </x:c>
      <x:c r="C12" t="n">
        <x:v>2</x:v>
      </x:c>
      <x:c r="D12" t="str">
        <x:v>RH</x:v>
      </x:c>
      <x:c r="E12" s="8" t="n">
        <x:v>10400</x:v>
      </x:c>
      <x:c r="F12" s="8" t="n">
        <x:f>SUMIFS(Financeiro!$I$2:$I$217,Financeiro!$C$2:$C$217,C12,Financeiro!$E$2:$E$217,D12,Financeiro!$D$2:$D$217,"Despesa")</x:f>
        <x:v>9018.68</x:v>
      </x:c>
      <x:c r="G12" s="8" t="n">
        <x:f>F12-E12</x:f>
        <x:v>-1381.3199999999997</x:v>
      </x:c>
      <x:c r="H12" s="12" t="n">
        <x:f>IF(E12=0,0,G12/E12)</x:f>
        <x:v>-0.13281923076923075</x:v>
      </x:c>
      <x:c r="I12" t="str">
        <x:v>Aprovado</x:v>
      </x:c>
    </x:row>
    <x:row r="13" ht="21" customHeight="1">
      <x:c r="A13" t="str">
        <x:v>ORC-012</x:v>
      </x:c>
      <x:c r="B13" s="10" t="n">
        <x:v>45689</x:v>
      </x:c>
      <x:c r="C13" t="n">
        <x:v>2</x:v>
      </x:c>
      <x:c r="D13" t="str">
        <x:v>Marketing</x:v>
      </x:c>
      <x:c r="E13" s="8" t="n">
        <x:v>7900</x:v>
      </x:c>
      <x:c r="F13" s="8" t="n">
        <x:f>SUMIFS(Financeiro!$I$2:$I$217,Financeiro!$C$2:$C$217,C13,Financeiro!$E$2:$E$217,D13,Financeiro!$D$2:$D$217,"Despesa")</x:f>
        <x:v>8315.62</x:v>
      </x:c>
      <x:c r="G13" s="8" t="n">
        <x:f>F13-E13</x:f>
        <x:v>415.6200000000008</x:v>
      </x:c>
      <x:c r="H13" s="12" t="n">
        <x:f>IF(E13=0,0,G13/E13)</x:f>
        <x:v>0.05261012658227858</x:v>
      </x:c>
      <x:c r="I13" t="str">
        <x:v>Aprovado</x:v>
      </x:c>
    </x:row>
    <x:row r="14" ht="21" customHeight="1">
      <x:c r="A14" t="str">
        <x:v>ORC-013</x:v>
      </x:c>
      <x:c r="B14" s="10" t="n">
        <x:v>45689</x:v>
      </x:c>
      <x:c r="C14" t="n">
        <x:v>2</x:v>
      </x:c>
      <x:c r="D14" t="str">
        <x:v>Operações</x:v>
      </x:c>
      <x:c r="E14" s="8" t="n">
        <x:v>9100</x:v>
      </x:c>
      <x:c r="F14" s="8" t="n">
        <x:f>SUMIFS(Financeiro!$I$2:$I$217,Financeiro!$C$2:$C$217,C14,Financeiro!$E$2:$E$217,D14,Financeiro!$D$2:$D$217,"Despesa")</x:f>
        <x:v>9588.51</x:v>
      </x:c>
      <x:c r="G14" s="8" t="n">
        <x:f>F14-E14</x:f>
        <x:v>488.5100000000002</x:v>
      </x:c>
      <x:c r="H14" s="12" t="n">
        <x:f>IF(E14=0,0,G14/E14)</x:f>
        <x:v>0.0536824175824176</x:v>
      </x:c>
      <x:c r="I14" t="str">
        <x:v>Aprovado</x:v>
      </x:c>
    </x:row>
    <x:row r="15" ht="21" customHeight="1">
      <x:c r="A15" t="str">
        <x:v>ORC-014</x:v>
      </x:c>
      <x:c r="B15" s="10" t="n">
        <x:v>45689</x:v>
      </x:c>
      <x:c r="C15" t="n">
        <x:v>2</x:v>
      </x:c>
      <x:c r="D15" t="str">
        <x:v>Comercial</x:v>
      </x:c>
      <x:c r="E15" s="8" t="n">
        <x:v>11100</x:v>
      </x:c>
      <x:c r="F15" s="8" t="n">
        <x:f>SUMIFS(Financeiro!$I$2:$I$217,Financeiro!$C$2:$C$217,C15,Financeiro!$E$2:$E$217,D15,Financeiro!$D$2:$D$217,"Despesa")</x:f>
        <x:v>9848.03</x:v>
      </x:c>
      <x:c r="G15" s="8" t="n">
        <x:f>F15-E15</x:f>
        <x:v>-1251.9699999999993</x:v>
      </x:c>
      <x:c r="H15" s="12" t="n">
        <x:f>IF(E15=0,0,G15/E15)</x:f>
        <x:v>-0.11279009009009003</x:v>
      </x:c>
      <x:c r="I15" t="str">
        <x:v>Aprovado</x:v>
      </x:c>
    </x:row>
    <x:row r="16" ht="21" customHeight="1">
      <x:c r="A16" t="str">
        <x:v>ORC-015</x:v>
      </x:c>
      <x:c r="B16" s="10" t="n">
        <x:v>45689</x:v>
      </x:c>
      <x:c r="C16" t="n">
        <x:v>2</x:v>
      </x:c>
      <x:c r="D16" t="str">
        <x:v>Logística</x:v>
      </x:c>
      <x:c r="E16" s="8" t="n">
        <x:v>19300</x:v>
      </x:c>
      <x:c r="F16" s="8" t="n">
        <x:f>SUMIFS(Financeiro!$I$2:$I$217,Financeiro!$C$2:$C$217,C16,Financeiro!$E$2:$E$217,D16,Financeiro!$D$2:$D$217,"Despesa")</x:f>
        <x:v>17158.9</x:v>
      </x:c>
      <x:c r="G16" s="8" t="n">
        <x:f>F16-E16</x:f>
        <x:v>-2141.0999999999985</x:v>
      </x:c>
      <x:c r="H16" s="12" t="n">
        <x:f>IF(E16=0,0,G16/E16)</x:f>
        <x:v>-0.11093782383419681</x:v>
      </x:c>
      <x:c r="I16" t="str">
        <x:v>Aprovado</x:v>
      </x:c>
    </x:row>
    <x:row r="17" ht="21" customHeight="1">
      <x:c r="A17" t="str">
        <x:v>ORC-016</x:v>
      </x:c>
      <x:c r="B17" s="10" t="n">
        <x:v>45689</x:v>
      </x:c>
      <x:c r="C17" t="n">
        <x:v>2</x:v>
      </x:c>
      <x:c r="D17" t="str">
        <x:v>Jurídico</x:v>
      </x:c>
      <x:c r="E17" s="8" t="n">
        <x:v>21000</x:v>
      </x:c>
      <x:c r="F17" s="8" t="n">
        <x:f>SUMIFS(Financeiro!$I$2:$I$217,Financeiro!$C$2:$C$217,C17,Financeiro!$E$2:$E$217,D17,Financeiro!$D$2:$D$217,"Despesa")</x:f>
        <x:v>20161.72</x:v>
      </x:c>
      <x:c r="G17" s="8" t="n">
        <x:f>F17-E17</x:f>
        <x:v>-838.2799999999988</x:v>
      </x:c>
      <x:c r="H17" s="12" t="n">
        <x:f>IF(E17=0,0,G17/E17)</x:f>
        <x:v>-0.03991809523809518</x:v>
      </x:c>
      <x:c r="I17" t="str">
        <x:v>Aprovado</x:v>
      </x:c>
    </x:row>
    <x:row r="18" ht="21" customHeight="1">
      <x:c r="A18" t="str">
        <x:v>ORC-017</x:v>
      </x:c>
      <x:c r="B18" s="10" t="n">
        <x:v>45717</x:v>
      </x:c>
      <x:c r="C18" t="n">
        <x:v>3</x:v>
      </x:c>
      <x:c r="D18" t="str">
        <x:v>TI</x:v>
      </x:c>
      <x:c r="E18" s="8" t="n">
        <x:v>22300</x:v>
      </x:c>
      <x:c r="F18" s="8" t="n">
        <x:f>SUMIFS(Financeiro!$I$2:$I$217,Financeiro!$C$2:$C$217,C18,Financeiro!$E$2:$E$217,D18,Financeiro!$D$2:$D$217,"Despesa")</x:f>
        <x:v>21422.55</x:v>
      </x:c>
      <x:c r="G18" s="8" t="n">
        <x:f>F18-E18</x:f>
        <x:v>-877.4500000000007</x:v>
      </x:c>
      <x:c r="H18" s="12" t="n">
        <x:f>IF(E18=0,0,G18/E18)</x:f>
        <x:v>-0.039347533632287025</x:v>
      </x:c>
      <x:c r="I18" t="str">
        <x:v>Aprovado</x:v>
      </x:c>
    </x:row>
    <x:row r="19" ht="21" customHeight="1">
      <x:c r="A19" t="str">
        <x:v>ORC-018</x:v>
      </x:c>
      <x:c r="B19" s="10" t="n">
        <x:v>45717</x:v>
      </x:c>
      <x:c r="C19" t="n">
        <x:v>3</x:v>
      </x:c>
      <x:c r="D19" t="str">
        <x:v>Financeiro</x:v>
      </x:c>
      <x:c r="E19" s="8" t="n">
        <x:v>20400</x:v>
      </x:c>
      <x:c r="F19" s="8" t="n">
        <x:f>SUMIFS(Financeiro!$I$2:$I$217,Financeiro!$C$2:$C$217,C19,Financeiro!$E$2:$E$217,D19,Financeiro!$D$2:$D$217,"Despesa")</x:f>
        <x:v>22794.57</x:v>
      </x:c>
      <x:c r="G19" s="8" t="n">
        <x:f>F19-E19</x:f>
        <x:v>2394.5699999999997</x:v>
      </x:c>
      <x:c r="H19" s="12" t="n">
        <x:f>IF(E19=0,0,G19/E19)</x:f>
        <x:v>0.11738088235294117</x:v>
      </x:c>
      <x:c r="I19" t="str">
        <x:v>Aprovado</x:v>
      </x:c>
    </x:row>
    <x:row r="20" ht="21" customHeight="1">
      <x:c r="A20" t="str">
        <x:v>ORC-019</x:v>
      </x:c>
      <x:c r="B20" s="10" t="n">
        <x:v>45717</x:v>
      </x:c>
      <x:c r="C20" t="n">
        <x:v>3</x:v>
      </x:c>
      <x:c r="D20" t="str">
        <x:v>RH</x:v>
      </x:c>
      <x:c r="E20" s="8" t="n">
        <x:v>8600</x:v>
      </x:c>
      <x:c r="F20" s="8" t="n">
        <x:f>SUMIFS(Financeiro!$I$2:$I$217,Financeiro!$C$2:$C$217,C20,Financeiro!$E$2:$E$217,D20,Financeiro!$D$2:$D$217,"Despesa")</x:f>
        <x:v>7455.23</x:v>
      </x:c>
      <x:c r="G20" s="8" t="n">
        <x:f>F20-E20</x:f>
        <x:v>-1144.7700000000004</x:v>
      </x:c>
      <x:c r="H20" s="12" t="n">
        <x:f>IF(E20=0,0,G20/E20)</x:f>
        <x:v>-0.13311279069767448</x:v>
      </x:c>
      <x:c r="I20" t="str">
        <x:v>Aprovado</x:v>
      </x:c>
    </x:row>
    <x:row r="21" ht="21" customHeight="1">
      <x:c r="A21" t="str">
        <x:v>ORC-020</x:v>
      </x:c>
      <x:c r="B21" s="10" t="n">
        <x:v>45717</x:v>
      </x:c>
      <x:c r="C21" t="n">
        <x:v>3</x:v>
      </x:c>
      <x:c r="D21" t="str">
        <x:v>Marketing</x:v>
      </x:c>
      <x:c r="E21" s="8" t="n">
        <x:v>10000</x:v>
      </x:c>
      <x:c r="F21" s="8" t="n">
        <x:f>SUMIFS(Financeiro!$I$2:$I$217,Financeiro!$C$2:$C$217,C21,Financeiro!$E$2:$E$217,D21,Financeiro!$D$2:$D$217,"Despesa")</x:f>
        <x:v>9569.47</x:v>
      </x:c>
      <x:c r="G21" s="8" t="n">
        <x:f>F21-E21</x:f>
        <x:v>-430.53000000000065</x:v>
      </x:c>
      <x:c r="H21" s="12" t="n">
        <x:f>IF(E21=0,0,G21/E21)</x:f>
        <x:v>-0.04305300000000006</x:v>
      </x:c>
      <x:c r="I21" t="str">
        <x:v>Aprovado</x:v>
      </x:c>
    </x:row>
    <x:row r="22" ht="21" customHeight="1">
      <x:c r="A22" t="str">
        <x:v>ORC-021</x:v>
      </x:c>
      <x:c r="B22" s="10" t="n">
        <x:v>45717</x:v>
      </x:c>
      <x:c r="C22" t="n">
        <x:v>3</x:v>
      </x:c>
      <x:c r="D22" t="str">
        <x:v>Operações</x:v>
      </x:c>
      <x:c r="E22" s="8" t="n">
        <x:v>11000</x:v>
      </x:c>
      <x:c r="F22" s="8" t="n">
        <x:f>SUMIFS(Financeiro!$I$2:$I$217,Financeiro!$C$2:$C$217,C22,Financeiro!$E$2:$E$217,D22,Financeiro!$D$2:$D$217,"Despesa")</x:f>
        <x:v>10536.71</x:v>
      </x:c>
      <x:c r="G22" s="8" t="n">
        <x:f>F22-E22</x:f>
        <x:v>-463.2900000000009</x:v>
      </x:c>
      <x:c r="H22" s="12" t="n">
        <x:f>IF(E22=0,0,G22/E22)</x:f>
        <x:v>-0.04211727272727281</x:v>
      </x:c>
      <x:c r="I22" t="str">
        <x:v>Aprovado</x:v>
      </x:c>
    </x:row>
    <x:row r="23" ht="21" customHeight="1">
      <x:c r="A23" t="str">
        <x:v>ORC-022</x:v>
      </x:c>
      <x:c r="B23" s="10" t="n">
        <x:v>45717</x:v>
      </x:c>
      <x:c r="C23" t="n">
        <x:v>3</x:v>
      </x:c>
      <x:c r="D23" t="str">
        <x:v>Comercial</x:v>
      </x:c>
      <x:c r="E23" s="8" t="n">
        <x:v>11900</x:v>
      </x:c>
      <x:c r="F23" s="8" t="n">
        <x:f>SUMIFS(Financeiro!$I$2:$I$217,Financeiro!$C$2:$C$217,C23,Financeiro!$E$2:$E$217,D23,Financeiro!$D$2:$D$217,"Despesa")</x:f>
        <x:v>10608.24</x:v>
      </x:c>
      <x:c r="G23" s="8" t="n">
        <x:f>F23-E23</x:f>
        <x:v>-1291.7600000000002</x:v>
      </x:c>
      <x:c r="H23" s="12" t="n">
        <x:f>IF(E23=0,0,G23/E23)</x:f>
        <x:v>-0.1085512605042017</x:v>
      </x:c>
      <x:c r="I23" t="str">
        <x:v>Aprovado</x:v>
      </x:c>
    </x:row>
    <x:row r="24" ht="21" customHeight="1">
      <x:c r="A24" t="str">
        <x:v>ORC-023</x:v>
      </x:c>
      <x:c r="B24" s="10" t="n">
        <x:v>45717</x:v>
      </x:c>
      <x:c r="C24" t="n">
        <x:v>3</x:v>
      </x:c>
      <x:c r="D24" t="str">
        <x:v>Logística</x:v>
      </x:c>
      <x:c r="E24" s="8" t="n">
        <x:v>17800</x:v>
      </x:c>
      <x:c r="F24" s="8" t="n">
        <x:f>SUMIFS(Financeiro!$I$2:$I$217,Financeiro!$C$2:$C$217,C24,Financeiro!$E$2:$E$217,D24,Financeiro!$D$2:$D$217,"Despesa")</x:f>
        <x:v>15822.91</x:v>
      </x:c>
      <x:c r="G24" s="8" t="n">
        <x:f>F24-E24</x:f>
        <x:v>-1977.0900000000001</x:v>
      </x:c>
      <x:c r="H24" s="12" t="n">
        <x:f>IF(E24=0,0,G24/E24)</x:f>
        <x:v>-0.11107247191011237</x:v>
      </x:c>
      <x:c r="I24" t="str">
        <x:v>Aprovado</x:v>
      </x:c>
    </x:row>
    <x:row r="25" ht="21" customHeight="1">
      <x:c r="A25" t="str">
        <x:v>ORC-024</x:v>
      </x:c>
      <x:c r="B25" s="10" t="n">
        <x:v>45717</x:v>
      </x:c>
      <x:c r="C25" t="n">
        <x:v>3</x:v>
      </x:c>
      <x:c r="D25" t="str">
        <x:v>Jurídico</x:v>
      </x:c>
      <x:c r="E25" s="8" t="n">
        <x:v>20600</x:v>
      </x:c>
      <x:c r="F25" s="8" t="n">
        <x:f>SUMIFS(Financeiro!$I$2:$I$217,Financeiro!$C$2:$C$217,C25,Financeiro!$E$2:$E$217,D25,Financeiro!$D$2:$D$217,"Despesa")</x:f>
        <x:v>18345.69</x:v>
      </x:c>
      <x:c r="G25" s="8" t="n">
        <x:f>F25-E25</x:f>
        <x:v>-2254.3100000000013</x:v>
      </x:c>
      <x:c r="H25" s="12" t="n">
        <x:f>IF(E25=0,0,G25/E25)</x:f>
        <x:v>-0.10943252427184473</x:v>
      </x:c>
      <x:c r="I25" t="str">
        <x:v>Aprovado</x:v>
      </x:c>
    </x:row>
    <x:row r="26" ht="21" customHeight="1">
      <x:c r="A26" t="str">
        <x:v>ORC-025</x:v>
      </x:c>
      <x:c r="B26" s="10" t="n">
        <x:v>45748</x:v>
      </x:c>
      <x:c r="C26" t="n">
        <x:v>4</x:v>
      </x:c>
      <x:c r="D26" t="str">
        <x:v>TI</x:v>
      </x:c>
      <x:c r="E26" s="8" t="n">
        <x:v>17800</x:v>
      </x:c>
      <x:c r="F26" s="8" t="n">
        <x:f>SUMIFS(Financeiro!$I$2:$I$217,Financeiro!$C$2:$C$217,C26,Financeiro!$E$2:$E$217,D26,Financeiro!$D$2:$D$217,"Despesa")</x:f>
        <x:v>19973.67</x:v>
      </x:c>
      <x:c r="G26" s="8" t="n">
        <x:f>F26-E26</x:f>
        <x:v>2173.6699999999983</x:v>
      </x:c>
      <x:c r="H26" s="12" t="n">
        <x:f>IF(E26=0,0,G26/E26)</x:f>
        <x:v>0.12211629213483136</x:v>
      </x:c>
      <x:c r="I26" t="str">
        <x:v>Aprovado</x:v>
      </x:c>
    </x:row>
    <x:row r="27" ht="21" customHeight="1">
      <x:c r="A27" t="str">
        <x:v>ORC-026</x:v>
      </x:c>
      <x:c r="B27" s="10" t="n">
        <x:v>45748</x:v>
      </x:c>
      <x:c r="C27" t="n">
        <x:v>4</x:v>
      </x:c>
      <x:c r="D27" t="str">
        <x:v>Financeiro</x:v>
      </x:c>
      <x:c r="E27" s="8" t="n">
        <x:v>21600</x:v>
      </x:c>
      <x:c r="F27" s="8" t="n">
        <x:f>SUMIFS(Financeiro!$I$2:$I$217,Financeiro!$C$2:$C$217,C27,Financeiro!$E$2:$E$217,D27,Financeiro!$D$2:$D$217,"Despesa")</x:f>
        <x:v>24202.46</x:v>
      </x:c>
      <x:c r="G27" s="8" t="n">
        <x:f>F27-E27</x:f>
        <x:v>2602.459999999999</x:v>
      </x:c>
      <x:c r="H27" s="12" t="n">
        <x:f>IF(E27=0,0,G27/E27)</x:f>
        <x:v>0.12048425925925922</x:v>
      </x:c>
      <x:c r="I27" t="str">
        <x:v>Aprovado</x:v>
      </x:c>
    </x:row>
    <x:row r="28" ht="21" customHeight="1">
      <x:c r="A28" t="str">
        <x:v>ORC-027</x:v>
      </x:c>
      <x:c r="B28" s="10" t="n">
        <x:v>45748</x:v>
      </x:c>
      <x:c r="C28" t="n">
        <x:v>4</x:v>
      </x:c>
      <x:c r="D28" t="str">
        <x:v>RH</x:v>
      </x:c>
      <x:c r="E28" s="8" t="n">
        <x:v>10700</x:v>
      </x:c>
      <x:c r="F28" s="8" t="n">
        <x:f>SUMIFS(Financeiro!$I$2:$I$217,Financeiro!$C$2:$C$217,C28,Financeiro!$E$2:$E$217,D28,Financeiro!$D$2:$D$217,"Despesa")</x:f>
        <x:v>9323.04</x:v>
      </x:c>
      <x:c r="G28" s="8" t="n">
        <x:f>F28-E28</x:f>
        <x:v>-1376.9599999999991</x:v>
      </x:c>
      <x:c r="H28" s="12" t="n">
        <x:f>IF(E28=0,0,G28/E28)</x:f>
        <x:v>-0.12868785046728964</x:v>
      </x:c>
      <x:c r="I28" t="str">
        <x:v>Aprovado</x:v>
      </x:c>
    </x:row>
    <x:row r="29" ht="21" customHeight="1">
      <x:c r="A29" t="str">
        <x:v>ORC-028</x:v>
      </x:c>
      <x:c r="B29" s="10" t="n">
        <x:v>45748</x:v>
      </x:c>
      <x:c r="C29" t="n">
        <x:v>4</x:v>
      </x:c>
      <x:c r="D29" t="str">
        <x:v>Marketing</x:v>
      </x:c>
      <x:c r="E29" s="8" t="n">
        <x:v>9200</x:v>
      </x:c>
      <x:c r="F29" s="8" t="n">
        <x:f>SUMIFS(Financeiro!$I$2:$I$217,Financeiro!$C$2:$C$217,C29,Financeiro!$E$2:$E$217,D29,Financeiro!$D$2:$D$217,"Despesa")</x:f>
        <x:v>10354.94</x:v>
      </x:c>
      <x:c r="G29" s="8" t="n">
        <x:f>F29-E29</x:f>
        <x:v>1154.9400000000005</x:v>
      </x:c>
      <x:c r="H29" s="12" t="n">
        <x:f>IF(E29=0,0,G29/E29)</x:f>
        <x:v>0.12553695652173918</x:v>
      </x:c>
      <x:c r="I29" t="str">
        <x:v>Aprovado</x:v>
      </x:c>
    </x:row>
    <x:row r="30" ht="21" customHeight="1">
      <x:c r="A30" t="str">
        <x:v>ORC-029</x:v>
      </x:c>
      <x:c r="B30" s="10" t="n">
        <x:v>45748</x:v>
      </x:c>
      <x:c r="C30" t="n">
        <x:v>4</x:v>
      </x:c>
      <x:c r="D30" t="str">
        <x:v>Operações</x:v>
      </x:c>
      <x:c r="E30" s="8" t="n">
        <x:v>11900</x:v>
      </x:c>
      <x:c r="F30" s="8" t="n">
        <x:f>SUMIFS(Financeiro!$I$2:$I$217,Financeiro!$C$2:$C$217,C30,Financeiro!$E$2:$E$217,D30,Financeiro!$D$2:$D$217,"Despesa")</x:f>
        <x:v>10588.82</x:v>
      </x:c>
      <x:c r="G30" s="8" t="n">
        <x:f>F30-E30</x:f>
        <x:v>-1311.1800000000003</x:v>
      </x:c>
      <x:c r="H30" s="12" t="n">
        <x:f>IF(E30=0,0,G30/E30)</x:f>
        <x:v>-0.11018319327731095</x:v>
      </x:c>
      <x:c r="I30" t="str">
        <x:v>Aprovado</x:v>
      </x:c>
    </x:row>
    <x:row r="31" ht="21" customHeight="1">
      <x:c r="A31" t="str">
        <x:v>ORC-030</x:v>
      </x:c>
      <x:c r="B31" s="10" t="n">
        <x:v>45748</x:v>
      </x:c>
      <x:c r="C31" t="n">
        <x:v>4</x:v>
      </x:c>
      <x:c r="D31" t="str">
        <x:v>Comercial</x:v>
      </x:c>
      <x:c r="E31" s="8" t="n">
        <x:v>9900</x:v>
      </x:c>
      <x:c r="F31" s="8" t="n">
        <x:f>SUMIFS(Financeiro!$I$2:$I$217,Financeiro!$C$2:$C$217,C31,Financeiro!$E$2:$E$217,D31,Financeiro!$D$2:$D$217,"Despesa")</x:f>
        <x:v>11134.57</x:v>
      </x:c>
      <x:c r="G31" s="8" t="n">
        <x:f>F31-E31</x:f>
        <x:v>1234.5699999999997</x:v>
      </x:c>
      <x:c r="H31" s="12" t="n">
        <x:f>IF(E31=0,0,G31/E31)</x:f>
        <x:v>0.12470404040404037</x:v>
      </x:c>
      <x:c r="I31" t="str">
        <x:v>Aprovado</x:v>
      </x:c>
    </x:row>
    <x:row r="32" ht="21" customHeight="1">
      <x:c r="A32" t="str">
        <x:v>ORC-031</x:v>
      </x:c>
      <x:c r="B32" s="10" t="n">
        <x:v>45748</x:v>
      </x:c>
      <x:c r="C32" t="n">
        <x:v>4</x:v>
      </x:c>
      <x:c r="D32" t="str">
        <x:v>Logística</x:v>
      </x:c>
      <x:c r="E32" s="8" t="n">
        <x:v>18600</x:v>
      </x:c>
      <x:c r="F32" s="8" t="n">
        <x:f>SUMIFS(Financeiro!$I$2:$I$217,Financeiro!$C$2:$C$217,C32,Financeiro!$E$2:$E$217,D32,Financeiro!$D$2:$D$217,"Despesa")</x:f>
        <x:v>16566.809999999998</x:v>
      </x:c>
      <x:c r="G32" s="8" t="n">
        <x:f>F32-E32</x:f>
        <x:v>-2033.1900000000023</x:v>
      </x:c>
      <x:c r="H32" s="12" t="n">
        <x:f>IF(E32=0,0,G32/E32)</x:f>
        <x:v>-0.10931129032258077</x:v>
      </x:c>
      <x:c r="I32" t="str">
        <x:v>Aprovado</x:v>
      </x:c>
    </x:row>
    <x:row r="33" ht="21" customHeight="1">
      <x:c r="A33" t="str">
        <x:v>ORC-032</x:v>
      </x:c>
      <x:c r="B33" s="10" t="n">
        <x:v>45748</x:v>
      </x:c>
      <x:c r="C33" t="n">
        <x:v>4</x:v>
      </x:c>
      <x:c r="D33" t="str">
        <x:v>Jurídico</x:v>
      </x:c>
      <x:c r="E33" s="8" t="n">
        <x:v>20100</x:v>
      </x:c>
      <x:c r="F33" s="8" t="n">
        <x:f>SUMIFS(Financeiro!$I$2:$I$217,Financeiro!$C$2:$C$217,C33,Financeiro!$E$2:$E$217,D33,Financeiro!$D$2:$D$217,"Despesa")</x:f>
        <x:v>17929.33</x:v>
      </x:c>
      <x:c r="G33" s="8" t="n">
        <x:f>F33-E33</x:f>
        <x:v>-2170.6699999999983</x:v>
      </x:c>
      <x:c r="H33" s="12" t="n">
        <x:f>IF(E33=0,0,G33/E33)</x:f>
        <x:v>-0.10799353233830837</x:v>
      </x:c>
      <x:c r="I33" t="str">
        <x:v>Aprovado</x:v>
      </x:c>
    </x:row>
    <x:row r="34" ht="21" customHeight="1">
      <x:c r="A34" t="str">
        <x:v>ORC-033</x:v>
      </x:c>
      <x:c r="B34" s="10" t="n">
        <x:v>45778</x:v>
      </x:c>
      <x:c r="C34" t="n">
        <x:v>5</x:v>
      </x:c>
      <x:c r="D34" t="str">
        <x:v>TI</x:v>
      </x:c>
      <x:c r="E34" s="8" t="n">
        <x:v>39100</x:v>
      </x:c>
      <x:c r="F34" s="8" t="n">
        <x:f>SUMIFS(Financeiro!$I$2:$I$217,Financeiro!$C$2:$C$217,C34,Financeiro!$E$2:$E$217,D34,Financeiro!$D$2:$D$217,"Despesa")</x:f>
        <x:v>42281.08</x:v>
      </x:c>
      <x:c r="G34" s="8" t="n">
        <x:f>F34-E34</x:f>
        <x:v>3181.0800000000017</x:v>
      </x:c>
      <x:c r="H34" s="12" t="n">
        <x:f>IF(E34=0,0,G34/E34)</x:f>
        <x:v>0.08135754475703329</x:v>
      </x:c>
      <x:c r="I34" t="str">
        <x:v>Aprovado</x:v>
      </x:c>
    </x:row>
    <x:row r="35" ht="21" customHeight="1">
      <x:c r="A35" t="str">
        <x:v>ORC-034</x:v>
      </x:c>
      <x:c r="B35" s="10" t="n">
        <x:v>45778</x:v>
      </x:c>
      <x:c r="C35" t="n">
        <x:v>5</x:v>
      </x:c>
      <x:c r="D35" t="str">
        <x:v>Financeiro</x:v>
      </x:c>
      <x:c r="E35" s="8" t="n">
        <x:v>23300</x:v>
      </x:c>
      <x:c r="F35" s="8" t="n">
        <x:f>SUMIFS(Financeiro!$I$2:$I$217,Financeiro!$C$2:$C$217,C35,Financeiro!$E$2:$E$217,D35,Financeiro!$D$2:$D$217,"Despesa")</x:f>
        <x:v>20775.08</x:v>
      </x:c>
      <x:c r="G35" s="8" t="n">
        <x:f>F35-E35</x:f>
        <x:v>-2524.9199999999983</x:v>
      </x:c>
      <x:c r="H35" s="12" t="n">
        <x:f>IF(E35=0,0,G35/E35)</x:f>
        <x:v>-0.10836566523605143</x:v>
      </x:c>
      <x:c r="I35" t="str">
        <x:v>Aprovado</x:v>
      </x:c>
    </x:row>
    <x:row r="36" ht="21" customHeight="1">
      <x:c r="A36" t="str">
        <x:v>ORC-035</x:v>
      </x:c>
      <x:c r="B36" s="10" t="n">
        <x:v>45778</x:v>
      </x:c>
      <x:c r="C36" t="n">
        <x:v>5</x:v>
      </x:c>
      <x:c r="D36" t="str">
        <x:v>RH</x:v>
      </x:c>
      <x:c r="E36" s="8" t="n">
        <x:v>10900</x:v>
      </x:c>
      <x:c r="F36" s="8" t="n">
        <x:f>SUMIFS(Financeiro!$I$2:$I$217,Financeiro!$C$2:$C$217,C36,Financeiro!$E$2:$E$217,D36,Financeiro!$D$2:$D$217,"Despesa")</x:f>
        <x:v>9492.64</x:v>
      </x:c>
      <x:c r="G36" s="8" t="n">
        <x:f>F36-E36</x:f>
        <x:v>-1407.3600000000006</x:v>
      </x:c>
      <x:c r="H36" s="12" t="n">
        <x:f>IF(E36=0,0,G36/E36)</x:f>
        <x:v>-0.12911559633027528</x:v>
      </x:c>
      <x:c r="I36" t="str">
        <x:v>Aprovado</x:v>
      </x:c>
    </x:row>
    <x:row r="37" ht="21" customHeight="1">
      <x:c r="A37" t="str">
        <x:v>ORC-036</x:v>
      </x:c>
      <x:c r="B37" s="10" t="n">
        <x:v>45778</x:v>
      </x:c>
      <x:c r="C37" t="n">
        <x:v>5</x:v>
      </x:c>
      <x:c r="D37" t="str">
        <x:v>Marketing</x:v>
      </x:c>
      <x:c r="E37" s="8" t="n">
        <x:v>15500</x:v>
      </x:c>
      <x:c r="F37" s="8" t="n">
        <x:f>SUMIFS(Financeiro!$I$2:$I$217,Financeiro!$C$2:$C$217,C37,Financeiro!$E$2:$E$217,D37,Financeiro!$D$2:$D$217,"Despesa")</x:f>
        <x:v>16785.78</x:v>
      </x:c>
      <x:c r="G37" s="8" t="n">
        <x:f>F37-E37</x:f>
        <x:v>1285.7799999999988</x:v>
      </x:c>
      <x:c r="H37" s="12" t="n">
        <x:f>IF(E37=0,0,G37/E37)</x:f>
        <x:v>0.0829535483870967</x:v>
      </x:c>
      <x:c r="I37" t="str">
        <x:v>Aprovado</x:v>
      </x:c>
    </x:row>
    <x:row r="38" ht="21" customHeight="1">
      <x:c r="A38" t="str">
        <x:v>ORC-037</x:v>
      </x:c>
      <x:c r="B38" s="10" t="n">
        <x:v>45778</x:v>
      </x:c>
      <x:c r="C38" t="n">
        <x:v>5</x:v>
      </x:c>
      <x:c r="D38" t="str">
        <x:v>Operações</x:v>
      </x:c>
      <x:c r="E38" s="8" t="n">
        <x:v>18700</x:v>
      </x:c>
      <x:c r="F38" s="8" t="n">
        <x:f>SUMIFS(Financeiro!$I$2:$I$217,Financeiro!$C$2:$C$217,C38,Financeiro!$E$2:$E$217,D38,Financeiro!$D$2:$D$217,"Despesa")</x:f>
        <x:v>17987.76</x:v>
      </x:c>
      <x:c r="G38" s="8" t="n">
        <x:f>F38-E38</x:f>
        <x:v>-712.2400000000016</x:v>
      </x:c>
      <x:c r="H38" s="12" t="n">
        <x:f>IF(E38=0,0,G38/E38)</x:f>
        <x:v>-0.03808770053475945</x:v>
      </x:c>
      <x:c r="I38" t="str">
        <x:v>Aprovado</x:v>
      </x:c>
    </x:row>
    <x:row r="39" ht="21" customHeight="1">
      <x:c r="A39" t="str">
        <x:v>ORC-038</x:v>
      </x:c>
      <x:c r="B39" s="10" t="n">
        <x:v>45778</x:v>
      </x:c>
      <x:c r="C39" t="n">
        <x:v>5</x:v>
      </x:c>
      <x:c r="D39" t="str">
        <x:v>Comercial</x:v>
      </x:c>
      <x:c r="E39" s="8" t="n">
        <x:v>9200</x:v>
      </x:c>
      <x:c r="F39" s="8" t="n">
        <x:f>SUMIFS(Financeiro!$I$2:$I$217,Financeiro!$C$2:$C$217,C39,Financeiro!$E$2:$E$217,D39,Financeiro!$D$2:$D$217,"Despesa")</x:f>
        <x:v>10289.19</x:v>
      </x:c>
      <x:c r="G39" s="8" t="n">
        <x:f>F39-E39</x:f>
        <x:v>1089.1900000000005</x:v>
      </x:c>
      <x:c r="H39" s="12" t="n">
        <x:f>IF(E39=0,0,G39/E39)</x:f>
        <x:v>0.1183902173913044</x:v>
      </x:c>
      <x:c r="I39" t="str">
        <x:v>Aprovado</x:v>
      </x:c>
    </x:row>
    <x:row r="40" ht="21" customHeight="1">
      <x:c r="A40" t="str">
        <x:v>ORC-039</x:v>
      </x:c>
      <x:c r="B40" s="10" t="n">
        <x:v>45778</x:v>
      </x:c>
      <x:c r="C40" t="n">
        <x:v>5</x:v>
      </x:c>
      <x:c r="D40" t="str">
        <x:v>Logística</x:v>
      </x:c>
      <x:c r="E40" s="8" t="n">
        <x:v>19600</x:v>
      </x:c>
      <x:c r="F40" s="8" t="n">
        <x:f>SUMIFS(Financeiro!$I$2:$I$217,Financeiro!$C$2:$C$217,C40,Financeiro!$E$2:$E$217,D40,Financeiro!$D$2:$D$217,"Despesa")</x:f>
        <x:v>18795.48</x:v>
      </x:c>
      <x:c r="G40" s="8" t="n">
        <x:f>F40-E40</x:f>
        <x:v>-804.5200000000004</x:v>
      </x:c>
      <x:c r="H40" s="12" t="n">
        <x:f>IF(E40=0,0,G40/E40)</x:f>
        <x:v>-0.041046938775510224</x:v>
      </x:c>
      <x:c r="I40" t="str">
        <x:v>Aprovado</x:v>
      </x:c>
    </x:row>
    <x:row r="41" ht="21" customHeight="1">
      <x:c r="A41" t="str">
        <x:v>ORC-040</x:v>
      </x:c>
      <x:c r="B41" s="10" t="n">
        <x:v>45778</x:v>
      </x:c>
      <x:c r="C41" t="n">
        <x:v>5</x:v>
      </x:c>
      <x:c r="D41" t="str">
        <x:v>Jurídico</x:v>
      </x:c>
      <x:c r="E41" s="8" t="n">
        <x:v>21500</x:v>
      </x:c>
      <x:c r="F41" s="8" t="n">
        <x:f>SUMIFS(Financeiro!$I$2:$I$217,Financeiro!$C$2:$C$217,C41,Financeiro!$E$2:$E$217,D41,Financeiro!$D$2:$D$217,"Despesa")</x:f>
        <x:v>19115.72</x:v>
      </x:c>
      <x:c r="G41" s="8" t="n">
        <x:f>F41-E41</x:f>
        <x:v>-2384.279999999999</x:v>
      </x:c>
      <x:c r="H41" s="12" t="n">
        <x:f>IF(E41=0,0,G41/E41)</x:f>
        <x:v>-0.11089674418604646</x:v>
      </x:c>
      <x:c r="I41" t="str">
        <x:v>Aprovado</x:v>
      </x:c>
    </x:row>
    <x:row r="42" ht="21" customHeight="1">
      <x:c r="A42" t="str">
        <x:v>ORC-041</x:v>
      </x:c>
      <x:c r="B42" s="10" t="n">
        <x:v>45809</x:v>
      </x:c>
      <x:c r="C42" t="n">
        <x:v>6</x:v>
      </x:c>
      <x:c r="D42" t="str">
        <x:v>TI</x:v>
      </x:c>
      <x:c r="E42" s="8" t="n">
        <x:v>39000</x:v>
      </x:c>
      <x:c r="F42" s="8" t="n">
        <x:f>SUMIFS(Financeiro!$I$2:$I$217,Financeiro!$C$2:$C$217,C42,Financeiro!$E$2:$E$217,D42,Financeiro!$D$2:$D$217,"Despesa")</x:f>
        <x:v>42139.630000000005</x:v>
      </x:c>
      <x:c r="G42" s="8" t="n">
        <x:f>F42-E42</x:f>
        <x:v>3139.6300000000047</x:v>
      </x:c>
      <x:c r="H42" s="12" t="n">
        <x:f>IF(E42=0,0,G42/E42)</x:f>
        <x:v>0.08050333333333345</x:v>
      </x:c>
      <x:c r="I42" t="str">
        <x:v>Aprovado</x:v>
      </x:c>
    </x:row>
    <x:row r="43" ht="21" customHeight="1">
      <x:c r="A43" t="str">
        <x:v>ORC-042</x:v>
      </x:c>
      <x:c r="B43" s="10" t="n">
        <x:v>45809</x:v>
      </x:c>
      <x:c r="C43" t="n">
        <x:v>6</x:v>
      </x:c>
      <x:c r="D43" t="str">
        <x:v>Financeiro</x:v>
      </x:c>
      <x:c r="E43" s="8" t="n">
        <x:v>22600</x:v>
      </x:c>
      <x:c r="F43" s="8" t="n">
        <x:f>SUMIFS(Financeiro!$I$2:$I$217,Financeiro!$C$2:$C$217,C43,Financeiro!$E$2:$E$217,D43,Financeiro!$D$2:$D$217,"Despesa")</x:f>
        <x:v>23687.190000000002</x:v>
      </x:c>
      <x:c r="G43" s="8" t="n">
        <x:f>F43-E43</x:f>
        <x:v>1087.1900000000023</x:v>
      </x:c>
      <x:c r="H43" s="12" t="n">
        <x:f>IF(E43=0,0,G43/E43)</x:f>
        <x:v>0.04810575221238948</x:v>
      </x:c>
      <x:c r="I43" t="str">
        <x:v>Aprovado</x:v>
      </x:c>
    </x:row>
    <x:row r="44" ht="21" customHeight="1">
      <x:c r="A44" t="str">
        <x:v>ORC-043</x:v>
      </x:c>
      <x:c r="B44" s="10" t="n">
        <x:v>45809</x:v>
      </x:c>
      <x:c r="C44" t="n">
        <x:v>6</x:v>
      </x:c>
      <x:c r="D44" t="str">
        <x:v>RH</x:v>
      </x:c>
      <x:c r="E44" s="8" t="n">
        <x:v>9200</x:v>
      </x:c>
      <x:c r="F44" s="8" t="n">
        <x:f>SUMIFS(Financeiro!$I$2:$I$217,Financeiro!$C$2:$C$217,C44,Financeiro!$E$2:$E$217,D44,Financeiro!$D$2:$D$217,"Despesa")</x:f>
        <x:v>7988.84</x:v>
      </x:c>
      <x:c r="G44" s="8" t="n">
        <x:f>F44-E44</x:f>
        <x:v>-1211.1599999999999</x:v>
      </x:c>
      <x:c r="H44" s="12" t="n">
        <x:f>IF(E44=0,0,G44/E44)</x:f>
        <x:v>-0.1316478260869565</x:v>
      </x:c>
      <x:c r="I44" t="str">
        <x:v>Aprovado</x:v>
      </x:c>
    </x:row>
    <x:row r="45" ht="21" customHeight="1">
      <x:c r="A45" t="str">
        <x:v>ORC-044</x:v>
      </x:c>
      <x:c r="B45" s="10" t="n">
        <x:v>45809</x:v>
      </x:c>
      <x:c r="C45" t="n">
        <x:v>6</x:v>
      </x:c>
      <x:c r="D45" t="str">
        <x:v>Marketing</x:v>
      </x:c>
      <x:c r="E45" s="8" t="n">
        <x:v>16500</x:v>
      </x:c>
      <x:c r="F45" s="8" t="n">
        <x:f>SUMIFS(Financeiro!$I$2:$I$217,Financeiro!$C$2:$C$217,C45,Financeiro!$E$2:$E$217,D45,Financeiro!$D$2:$D$217,"Despesa")</x:f>
        <x:v>17829.47</x:v>
      </x:c>
      <x:c r="G45" s="8" t="n">
        <x:f>F45-E45</x:f>
        <x:v>1329.4700000000012</x:v>
      </x:c>
      <x:c r="H45" s="12" t="n">
        <x:f>IF(E45=0,0,G45/E45)</x:f>
        <x:v>0.08057393939393946</x:v>
      </x:c>
      <x:c r="I45" t="str">
        <x:v>Aprovado</x:v>
      </x:c>
    </x:row>
    <x:row r="46" ht="21" customHeight="1">
      <x:c r="A46" t="str">
        <x:v>ORC-045</x:v>
      </x:c>
      <x:c r="B46" s="10" t="n">
        <x:v>45809</x:v>
      </x:c>
      <x:c r="C46" t="n">
        <x:v>6</x:v>
      </x:c>
      <x:c r="D46" t="str">
        <x:v>Operações</x:v>
      </x:c>
      <x:c r="E46" s="8" t="n">
        <x:v>19900</x:v>
      </x:c>
      <x:c r="F46" s="8" t="n">
        <x:f>SUMIFS(Financeiro!$I$2:$I$217,Financeiro!$C$2:$C$217,C46,Financeiro!$E$2:$E$217,D46,Financeiro!$D$2:$D$217,"Despesa")</x:f>
        <x:v>22312.76</x:v>
      </x:c>
      <x:c r="G46" s="8" t="n">
        <x:f>F46-E46</x:f>
        <x:v>2412.7599999999984</x:v>
      </x:c>
      <x:c r="H46" s="12" t="n">
        <x:f>IF(E46=0,0,G46/E46)</x:f>
        <x:v>0.12124422110552756</x:v>
      </x:c>
      <x:c r="I46" t="str">
        <x:v>Aprovado</x:v>
      </x:c>
    </x:row>
    <x:row r="47" ht="21" customHeight="1">
      <x:c r="A47" t="str">
        <x:v>ORC-046</x:v>
      </x:c>
      <x:c r="B47" s="10" t="n">
        <x:v>45809</x:v>
      </x:c>
      <x:c r="C47" t="n">
        <x:v>6</x:v>
      </x:c>
      <x:c r="D47" t="str">
        <x:v>Comercial</x:v>
      </x:c>
      <x:c r="E47" s="8" t="n">
        <x:v>9600</x:v>
      </x:c>
      <x:c r="F47" s="8" t="n">
        <x:f>SUMIFS(Financeiro!$I$2:$I$217,Financeiro!$C$2:$C$217,C47,Financeiro!$E$2:$E$217,D47,Financeiro!$D$2:$D$217,"Despesa")</x:f>
        <x:v>10722.98</x:v>
      </x:c>
      <x:c r="G47" s="8" t="n">
        <x:f>F47-E47</x:f>
        <x:v>1122.9799999999996</x:v>
      </x:c>
      <x:c r="H47" s="12" t="n">
        <x:f>IF(E47=0,0,G47/E47)</x:f>
        <x:v>0.11697708333333329</x:v>
      </x:c>
      <x:c r="I47" t="str">
        <x:v>Aprovado</x:v>
      </x:c>
    </x:row>
    <x:row r="48" ht="21" customHeight="1">
      <x:c r="A48" t="str">
        <x:v>ORC-047</x:v>
      </x:c>
      <x:c r="B48" s="10" t="n">
        <x:v>45809</x:v>
      </x:c>
      <x:c r="C48" t="n">
        <x:v>6</x:v>
      </x:c>
      <x:c r="D48" t="str">
        <x:v>Logística</x:v>
      </x:c>
      <x:c r="E48" s="8" t="n">
        <x:v>19000</x:v>
      </x:c>
      <x:c r="F48" s="8" t="n">
        <x:f>SUMIFS(Financeiro!$I$2:$I$217,Financeiro!$C$2:$C$217,C48,Financeiro!$E$2:$E$217,D48,Financeiro!$D$2:$D$217,"Despesa")</x:f>
        <x:v>16873.309999999998</x:v>
      </x:c>
      <x:c r="G48" s="8" t="n">
        <x:f>F48-E48</x:f>
        <x:v>-2126.6900000000023</x:v>
      </x:c>
      <x:c r="H48" s="12" t="n">
        <x:f>IF(E48=0,0,G48/E48)</x:f>
        <x:v>-0.11193105263157907</x:v>
      </x:c>
      <x:c r="I48" t="str">
        <x:v>Aprovado</x:v>
      </x:c>
    </x:row>
    <x:row r="49" ht="21" customHeight="1">
      <x:c r="A49" t="str">
        <x:v>ORC-048</x:v>
      </x:c>
      <x:c r="B49" s="10" t="n">
        <x:v>45809</x:v>
      </x:c>
      <x:c r="C49" t="n">
        <x:v>6</x:v>
      </x:c>
      <x:c r="D49" t="str">
        <x:v>Jurídico</x:v>
      </x:c>
      <x:c r="E49" s="8" t="n">
        <x:v>20000</x:v>
      </x:c>
      <x:c r="F49" s="8" t="n">
        <x:f>SUMIFS(Financeiro!$I$2:$I$217,Financeiro!$C$2:$C$217,C49,Financeiro!$E$2:$E$217,D49,Financeiro!$D$2:$D$217,"Despesa")</x:f>
        <x:v>17769.489999999998</x:v>
      </x:c>
      <x:c r="G49" s="8" t="n">
        <x:f>F49-E49</x:f>
        <x:v>-2230.510000000002</x:v>
      </x:c>
      <x:c r="H49" s="12" t="n">
        <x:f>IF(E49=0,0,G49/E49)</x:f>
        <x:v>-0.1115255000000001</x:v>
      </x:c>
      <x:c r="I49" t="str">
        <x:v>Aprovado</x:v>
      </x:c>
    </x:row>
    <x:row r="50" ht="21" customHeight="1">
      <x:c r="A50" t="str">
        <x:v>ORC-049</x:v>
      </x:c>
      <x:c r="B50" s="10" t="n">
        <x:v>45839</x:v>
      </x:c>
      <x:c r="C50" t="n">
        <x:v>7</x:v>
      </x:c>
      <x:c r="D50" t="str">
        <x:v>TI</x:v>
      </x:c>
      <x:c r="E50" s="8" t="n">
        <x:v>19600</x:v>
      </x:c>
      <x:c r="F50" s="8" t="n">
        <x:f>SUMIFS(Financeiro!$I$2:$I$217,Financeiro!$C$2:$C$217,C50,Financeiro!$E$2:$E$217,D50,Financeiro!$D$2:$D$217,"Despesa")</x:f>
        <x:v>21150.449999999997</x:v>
      </x:c>
      <x:c r="G50" s="8" t="n">
        <x:f>F50-E50</x:f>
        <x:v>1550.449999999997</x:v>
      </x:c>
      <x:c r="H50" s="12" t="n">
        <x:f>IF(E50=0,0,G50/E50)</x:f>
        <x:v>0.07910459183673454</x:v>
      </x:c>
      <x:c r="I50" t="str">
        <x:v>Aprovado</x:v>
      </x:c>
    </x:row>
    <x:row r="51" ht="21" customHeight="1">
      <x:c r="A51" t="str">
        <x:v>ORC-050</x:v>
      </x:c>
      <x:c r="B51" s="10" t="n">
        <x:v>45839</x:v>
      </x:c>
      <x:c r="C51" t="n">
        <x:v>7</x:v>
      </x:c>
      <x:c r="D51" t="str">
        <x:v>Financeiro</x:v>
      </x:c>
      <x:c r="E51" s="8" t="n">
        <x:v>22800</x:v>
      </x:c>
      <x:c r="F51" s="8" t="n">
        <x:f>SUMIFS(Financeiro!$I$2:$I$217,Financeiro!$C$2:$C$217,C51,Financeiro!$E$2:$E$217,D51,Financeiro!$D$2:$D$217,"Despesa")</x:f>
        <x:v>25543.91</x:v>
      </x:c>
      <x:c r="G51" s="8" t="n">
        <x:f>F51-E51</x:f>
        <x:v>2743.91</x:v>
      </x:c>
      <x:c r="H51" s="12" t="n">
        <x:f>IF(E51=0,0,G51/E51)</x:f>
        <x:v>0.1203469298245614</x:v>
      </x:c>
      <x:c r="I51" t="str">
        <x:v>Aprovado</x:v>
      </x:c>
    </x:row>
    <x:row r="52" ht="21" customHeight="1">
      <x:c r="A52" t="str">
        <x:v>ORC-051</x:v>
      </x:c>
      <x:c r="B52" s="10" t="n">
        <x:v>45839</x:v>
      </x:c>
      <x:c r="C52" t="n">
        <x:v>7</x:v>
      </x:c>
      <x:c r="D52" t="str">
        <x:v>RH</x:v>
      </x:c>
      <x:c r="E52" s="8" t="n">
        <x:v>11000</x:v>
      </x:c>
      <x:c r="F52" s="8" t="n">
        <x:f>SUMIFS(Financeiro!$I$2:$I$217,Financeiro!$C$2:$C$217,C52,Financeiro!$E$2:$E$217,D52,Financeiro!$D$2:$D$217,"Despesa")</x:f>
        <x:v>9606.49</x:v>
      </x:c>
      <x:c r="G52" s="8" t="n">
        <x:f>F52-E52</x:f>
        <x:v>-1393.5100000000002</x:v>
      </x:c>
      <x:c r="H52" s="12" t="n">
        <x:f>IF(E52=0,0,G52/E52)</x:f>
        <x:v>-0.12668272727272728</x:v>
      </x:c>
      <x:c r="I52" t="str">
        <x:v>Aprovado</x:v>
      </x:c>
    </x:row>
    <x:row r="53" ht="21" customHeight="1">
      <x:c r="A53" t="str">
        <x:v>ORC-052</x:v>
      </x:c>
      <x:c r="B53" s="10" t="n">
        <x:v>45839</x:v>
      </x:c>
      <x:c r="C53" t="n">
        <x:v>7</x:v>
      </x:c>
      <x:c r="D53" t="str">
        <x:v>Marketing</x:v>
      </x:c>
      <x:c r="E53" s="8" t="n">
        <x:v>8600</x:v>
      </x:c>
      <x:c r="F53" s="8" t="n">
        <x:f>SUMIFS(Financeiro!$I$2:$I$217,Financeiro!$C$2:$C$217,C53,Financeiro!$E$2:$E$217,D53,Financeiro!$D$2:$D$217,"Despesa")</x:f>
        <x:v>9315.76</x:v>
      </x:c>
      <x:c r="G53" s="8" t="n">
        <x:f>F53-E53</x:f>
        <x:v>715.7600000000002</x:v>
      </x:c>
      <x:c r="H53" s="12" t="n">
        <x:f>IF(E53=0,0,G53/E53)</x:f>
        <x:v>0.08322790697674422</x:v>
      </x:c>
      <x:c r="I53" t="str">
        <x:v>Aprovado</x:v>
      </x:c>
    </x:row>
    <x:row r="54" ht="21" customHeight="1">
      <x:c r="A54" t="str">
        <x:v>ORC-053</x:v>
      </x:c>
      <x:c r="B54" s="10" t="n">
        <x:v>45839</x:v>
      </x:c>
      <x:c r="C54" t="n">
        <x:v>7</x:v>
      </x:c>
      <x:c r="D54" t="str">
        <x:v>Operações</x:v>
      </x:c>
      <x:c r="E54" s="8" t="n">
        <x:v>12400</x:v>
      </x:c>
      <x:c r="F54" s="8" t="n">
        <x:f>SUMIFS(Financeiro!$I$2:$I$217,Financeiro!$C$2:$C$217,C54,Financeiro!$E$2:$E$217,D54,Financeiro!$D$2:$D$217,"Despesa")</x:f>
        <x:v>12980</x:v>
      </x:c>
      <x:c r="G54" s="8" t="n">
        <x:f>F54-E54</x:f>
        <x:v>580</x:v>
      </x:c>
      <x:c r="H54" s="12" t="n">
        <x:f>IF(E54=0,0,G54/E54)</x:f>
        <x:v>0.0467741935483871</x:v>
      </x:c>
      <x:c r="I54" t="str">
        <x:v>Aprovado</x:v>
      </x:c>
    </x:row>
    <x:row r="55" ht="21" customHeight="1">
      <x:c r="A55" t="str">
        <x:v>ORC-054</x:v>
      </x:c>
      <x:c r="B55" s="10" t="n">
        <x:v>45839</x:v>
      </x:c>
      <x:c r="C55" t="n">
        <x:v>7</x:v>
      </x:c>
      <x:c r="D55" t="str">
        <x:v>Comercial</x:v>
      </x:c>
      <x:c r="E55" s="8" t="n">
        <x:v>14600</x:v>
      </x:c>
      <x:c r="F55" s="8" t="n">
        <x:f>SUMIFS(Financeiro!$I$2:$I$217,Financeiro!$C$2:$C$217,C55,Financeiro!$E$2:$E$217,D55,Financeiro!$D$2:$D$217,"Despesa")</x:f>
        <x:v>12980</x:v>
      </x:c>
      <x:c r="G55" s="8" t="n">
        <x:f>F55-E55</x:f>
        <x:v>-1620</x:v>
      </x:c>
      <x:c r="H55" s="12" t="n">
        <x:f>IF(E55=0,0,G55/E55)</x:f>
        <x:v>-0.11095890410958904</x:v>
      </x:c>
      <x:c r="I55" t="str">
        <x:v>Aprovado</x:v>
      </x:c>
    </x:row>
    <x:row r="56" ht="21" customHeight="1">
      <x:c r="A56" t="str">
        <x:v>ORC-055</x:v>
      </x:c>
      <x:c r="B56" s="10" t="n">
        <x:v>45839</x:v>
      </x:c>
      <x:c r="C56" t="n">
        <x:v>7</x:v>
      </x:c>
      <x:c r="D56" t="str">
        <x:v>Logística</x:v>
      </x:c>
      <x:c r="E56" s="8" t="n">
        <x:v>15500</x:v>
      </x:c>
      <x:c r="F56" s="8" t="n">
        <x:f>SUMIFS(Financeiro!$I$2:$I$217,Financeiro!$C$2:$C$217,C56,Financeiro!$E$2:$E$217,D56,Financeiro!$D$2:$D$217,"Despesa")</x:f>
        <x:v>17350.98</x:v>
      </x:c>
      <x:c r="G56" s="8" t="n">
        <x:f>F56-E56</x:f>
        <x:v>1850.9799999999996</x:v>
      </x:c>
      <x:c r="H56" s="12" t="n">
        <x:f>IF(E56=0,0,G56/E56)</x:f>
        <x:v>0.119418064516129</x:v>
      </x:c>
      <x:c r="I56" t="str">
        <x:v>Aprovado</x:v>
      </x:c>
    </x:row>
    <x:row r="57" ht="21" customHeight="1">
      <x:c r="A57" t="str">
        <x:v>ORC-056</x:v>
      </x:c>
      <x:c r="B57" s="10" t="n">
        <x:v>45839</x:v>
      </x:c>
      <x:c r="C57" t="n">
        <x:v>7</x:v>
      </x:c>
      <x:c r="D57" t="str">
        <x:v>Jurídico</x:v>
      </x:c>
      <x:c r="E57" s="8" t="n">
        <x:v>18900</x:v>
      </x:c>
      <x:c r="F57" s="8" t="n">
        <x:f>SUMIFS(Financeiro!$I$2:$I$217,Financeiro!$C$2:$C$217,C57,Financeiro!$E$2:$E$217,D57,Financeiro!$D$2:$D$217,"Despesa")</x:f>
        <x:v>19806.15</x:v>
      </x:c>
      <x:c r="G57" s="8" t="n">
        <x:f>F57-E57</x:f>
        <x:v>906.1500000000015</x:v>
      </x:c>
      <x:c r="H57" s="12" t="n">
        <x:f>IF(E57=0,0,G57/E57)</x:f>
        <x:v>0.04794444444444452</x:v>
      </x:c>
      <x:c r="I57" t="str">
        <x:v>Aprovado</x:v>
      </x:c>
    </x:row>
    <x:row r="58" ht="21" customHeight="1">
      <x:c r="A58" t="str">
        <x:v>ORC-057</x:v>
      </x:c>
      <x:c r="B58" s="10" t="n">
        <x:v>45870</x:v>
      </x:c>
      <x:c r="C58" t="n">
        <x:v>8</x:v>
      </x:c>
      <x:c r="D58" t="str">
        <x:v>TI</x:v>
      </x:c>
      <x:c r="E58" s="8" t="n">
        <x:v>21100</x:v>
      </x:c>
      <x:c r="F58" s="8" t="n">
        <x:f>SUMIFS(Financeiro!$I$2:$I$217,Financeiro!$C$2:$C$217,C58,Financeiro!$E$2:$E$217,D58,Financeiro!$D$2:$D$217,"Despesa")</x:f>
        <x:v>22749.21</x:v>
      </x:c>
      <x:c r="G58" s="8" t="n">
        <x:f>F58-E58</x:f>
        <x:v>1649.2099999999991</x:v>
      </x:c>
      <x:c r="H58" s="12" t="n">
        <x:f>IF(E58=0,0,G58/E58)</x:f>
        <x:v>0.07816161137440754</x:v>
      </x:c>
      <x:c r="I58" t="str">
        <x:v>Aprovado</x:v>
      </x:c>
    </x:row>
    <x:row r="59" ht="21" customHeight="1">
      <x:c r="A59" t="str">
        <x:v>ORC-058</x:v>
      </x:c>
      <x:c r="B59" s="10" t="n">
        <x:v>45870</x:v>
      </x:c>
      <x:c r="C59" t="n">
        <x:v>8</x:v>
      </x:c>
      <x:c r="D59" t="str">
        <x:v>Financeiro</x:v>
      </x:c>
      <x:c r="E59" s="8" t="n">
        <x:v>22600</x:v>
      </x:c>
      <x:c r="F59" s="8" t="n">
        <x:f>SUMIFS(Financeiro!$I$2:$I$217,Financeiro!$C$2:$C$217,C59,Financeiro!$E$2:$E$217,D59,Financeiro!$D$2:$D$217,"Despesa")</x:f>
        <x:v>23760.690000000002</x:v>
      </x:c>
      <x:c r="G59" s="8" t="n">
        <x:f>F59-E59</x:f>
        <x:v>1160.6900000000023</x:v>
      </x:c>
      <x:c r="H59" s="12" t="n">
        <x:f>IF(E59=0,0,G59/E59)</x:f>
        <x:v>0.051357964601770015</x:v>
      </x:c>
      <x:c r="I59" t="str">
        <x:v>Aprovado</x:v>
      </x:c>
    </x:row>
    <x:row r="60" ht="21" customHeight="1">
      <x:c r="A60" t="str">
        <x:v>ORC-059</x:v>
      </x:c>
      <x:c r="B60" s="10" t="n">
        <x:v>45870</x:v>
      </x:c>
      <x:c r="C60" t="n">
        <x:v>8</x:v>
      </x:c>
      <x:c r="D60" t="str">
        <x:v>RH</x:v>
      </x:c>
      <x:c r="E60" s="8" t="n">
        <x:v>10100</x:v>
      </x:c>
      <x:c r="F60" s="8" t="n">
        <x:f>SUMIFS(Financeiro!$I$2:$I$217,Financeiro!$C$2:$C$217,C60,Financeiro!$E$2:$E$217,D60,Financeiro!$D$2:$D$217,"Despesa")</x:f>
        <x:v>8779.09</x:v>
      </x:c>
      <x:c r="G60" s="8" t="n">
        <x:f>F60-E60</x:f>
        <x:v>-1320.9099999999999</x:v>
      </x:c>
      <x:c r="H60" s="12" t="n">
        <x:f>IF(E60=0,0,G60/E60)</x:f>
        <x:v>-0.13078316831683168</x:v>
      </x:c>
      <x:c r="I60" t="str">
        <x:v>Aprovado</x:v>
      </x:c>
    </x:row>
    <x:row r="61" ht="21" customHeight="1">
      <x:c r="A61" t="str">
        <x:v>ORC-060</x:v>
      </x:c>
      <x:c r="B61" s="10" t="n">
        <x:v>45870</x:v>
      </x:c>
      <x:c r="C61" t="n">
        <x:v>8</x:v>
      </x:c>
      <x:c r="D61" t="str">
        <x:v>Marketing</x:v>
      </x:c>
      <x:c r="E61" s="8" t="n">
        <x:v>8400</x:v>
      </x:c>
      <x:c r="F61" s="8" t="n">
        <x:f>SUMIFS(Financeiro!$I$2:$I$217,Financeiro!$C$2:$C$217,C61,Financeiro!$E$2:$E$217,D61,Financeiro!$D$2:$D$217,"Despesa")</x:f>
        <x:v>9105.39</x:v>
      </x:c>
      <x:c r="G61" s="8" t="n">
        <x:f>F61-E61</x:f>
        <x:v>705.3899999999994</x:v>
      </x:c>
      <x:c r="H61" s="12" t="n">
        <x:f>IF(E61=0,0,G61/E61)</x:f>
        <x:v>0.08397499999999992</x:v>
      </x:c>
      <x:c r="I61" t="str">
        <x:v>Aprovado</x:v>
      </x:c>
    </x:row>
    <x:row r="62" ht="21" customHeight="1">
      <x:c r="A62" t="str">
        <x:v>ORC-061</x:v>
      </x:c>
      <x:c r="B62" s="10" t="n">
        <x:v>45870</x:v>
      </x:c>
      <x:c r="C62" t="n">
        <x:v>8</x:v>
      </x:c>
      <x:c r="D62" t="str">
        <x:v>Operações</x:v>
      </x:c>
      <x:c r="E62" s="8" t="n">
        <x:v>12300</x:v>
      </x:c>
      <x:c r="F62" s="8" t="n">
        <x:f>SUMIFS(Financeiro!$I$2:$I$217,Financeiro!$C$2:$C$217,C62,Financeiro!$E$2:$E$217,D62,Financeiro!$D$2:$D$217,"Despesa")</x:f>
        <x:v>11812.55</x:v>
      </x:c>
      <x:c r="G62" s="8" t="n">
        <x:f>F62-E62</x:f>
        <x:v>-487.4500000000007</x:v>
      </x:c>
      <x:c r="H62" s="12" t="n">
        <x:f>IF(E62=0,0,G62/E62)</x:f>
        <x:v>-0.039630081300813066</x:v>
      </x:c>
      <x:c r="I62" t="str">
        <x:v>Aprovado</x:v>
      </x:c>
    </x:row>
    <x:row r="63" ht="21" customHeight="1">
      <x:c r="A63" t="str">
        <x:v>ORC-062</x:v>
      </x:c>
      <x:c r="B63" s="10" t="n">
        <x:v>45870</x:v>
      </x:c>
      <x:c r="C63" t="n">
        <x:v>8</x:v>
      </x:c>
      <x:c r="D63" t="str">
        <x:v>Comercial</x:v>
      </x:c>
      <x:c r="E63" s="8" t="n">
        <x:v>10700</x:v>
      </x:c>
      <x:c r="F63" s="8" t="n">
        <x:f>SUMIFS(Financeiro!$I$2:$I$217,Financeiro!$C$2:$C$217,C63,Financeiro!$E$2:$E$217,D63,Financeiro!$D$2:$D$217,"Despesa")</x:f>
        <x:v>12010.62</x:v>
      </x:c>
      <x:c r="G63" s="8" t="n">
        <x:f>F63-E63</x:f>
        <x:v>1310.6200000000008</x:v>
      </x:c>
      <x:c r="H63" s="12" t="n">
        <x:f>IF(E63=0,0,G63/E63)</x:f>
        <x:v>0.1224878504672898</x:v>
      </x:c>
      <x:c r="I63" t="str">
        <x:v>Aprovado</x:v>
      </x:c>
    </x:row>
    <x:row r="64" ht="21" customHeight="1">
      <x:c r="A64" t="str">
        <x:v>ORC-063</x:v>
      </x:c>
      <x:c r="B64" s="10" t="n">
        <x:v>45870</x:v>
      </x:c>
      <x:c r="C64" t="n">
        <x:v>8</x:v>
      </x:c>
      <x:c r="D64" t="str">
        <x:v>Logística</x:v>
      </x:c>
      <x:c r="E64" s="8" t="n">
        <x:v>19200</x:v>
      </x:c>
      <x:c r="F64" s="8" t="n">
        <x:f>SUMIFS(Financeiro!$I$2:$I$217,Financeiro!$C$2:$C$217,C64,Financeiro!$E$2:$E$217,D64,Financeiro!$D$2:$D$217,"Despesa")</x:f>
        <x:v>18432.370000000003</x:v>
      </x:c>
      <x:c r="G64" s="8" t="n">
        <x:f>F64-E64</x:f>
        <x:v>-767.6299999999974</x:v>
      </x:c>
      <x:c r="H64" s="12" t="n">
        <x:f>IF(E64=0,0,G64/E64)</x:f>
        <x:v>-0.03998072916666653</x:v>
      </x:c>
      <x:c r="I64" t="str">
        <x:v>Aprovado</x:v>
      </x:c>
    </x:row>
    <x:row r="65" ht="21" customHeight="1">
      <x:c r="A65" t="str">
        <x:v>ORC-064</x:v>
      </x:c>
      <x:c r="B65" s="10" t="n">
        <x:v>45870</x:v>
      </x:c>
      <x:c r="C65" t="n">
        <x:v>8</x:v>
      </x:c>
      <x:c r="D65" t="str">
        <x:v>Jurídico</x:v>
      </x:c>
      <x:c r="E65" s="8" t="n">
        <x:v>20600</x:v>
      </x:c>
      <x:c r="F65" s="8" t="n">
        <x:f>SUMIFS(Financeiro!$I$2:$I$217,Financeiro!$C$2:$C$217,C65,Financeiro!$E$2:$E$217,D65,Financeiro!$D$2:$D$217,"Despesa")</x:f>
        <x:v>18336.309999999998</x:v>
      </x:c>
      <x:c r="G65" s="8" t="n">
        <x:f>F65-E65</x:f>
        <x:v>-2263.6900000000023</x:v>
      </x:c>
      <x:c r="H65" s="12" t="n">
        <x:f>IF(E65=0,0,G65/E65)</x:f>
        <x:v>-0.10988786407767001</x:v>
      </x:c>
      <x:c r="I65" t="str">
        <x:v>Aprovado</x:v>
      </x:c>
    </x:row>
    <x:row r="66" ht="21" customHeight="1">
      <x:c r="A66" t="str">
        <x:v>ORC-065</x:v>
      </x:c>
      <x:c r="B66" s="10" t="n">
        <x:v>45901</x:v>
      </x:c>
      <x:c r="C66" t="n">
        <x:v>9</x:v>
      </x:c>
      <x:c r="D66" t="str">
        <x:v>TI</x:v>
      </x:c>
      <x:c r="E66" s="8" t="n">
        <x:v>43200</x:v>
      </x:c>
      <x:c r="F66" s="8" t="n">
        <x:f>SUMIFS(Financeiro!$I$2:$I$217,Financeiro!$C$2:$C$217,C66,Financeiro!$E$2:$E$217,D66,Financeiro!$D$2:$D$217,"Despesa")</x:f>
        <x:v>46637.07</x:v>
      </x:c>
      <x:c r="G66" s="8" t="n">
        <x:f>F66-E66</x:f>
        <x:v>3437.0699999999997</x:v>
      </x:c>
      <x:c r="H66" s="12" t="n">
        <x:f>IF(E66=0,0,G66/E66)</x:f>
        <x:v>0.07956180555555555</x:v>
      </x:c>
      <x:c r="I66" t="str">
        <x:v>Aprovado</x:v>
      </x:c>
    </x:row>
    <x:row r="67" ht="21" customHeight="1">
      <x:c r="A67" t="str">
        <x:v>ORC-066</x:v>
      </x:c>
      <x:c r="B67" s="10" t="n">
        <x:v>45901</x:v>
      </x:c>
      <x:c r="C67" t="n">
        <x:v>9</x:v>
      </x:c>
      <x:c r="D67" t="str">
        <x:v>Financeiro</x:v>
      </x:c>
      <x:c r="E67" s="8" t="n">
        <x:v>25400</x:v>
      </x:c>
      <x:c r="F67" s="8" t="n">
        <x:f>SUMIFS(Financeiro!$I$2:$I$217,Financeiro!$C$2:$C$217,C67,Financeiro!$E$2:$E$217,D67,Financeiro!$D$2:$D$217,"Despesa")</x:f>
        <x:v>22629.47</x:v>
      </x:c>
      <x:c r="G67" s="8" t="n">
        <x:f>F67-E67</x:f>
        <x:v>-2770.529999999999</x:v>
      </x:c>
      <x:c r="H67" s="12" t="n">
        <x:f>IF(E67=0,0,G67/E67)</x:f>
        <x:v>-0.10907598425196846</x:v>
      </x:c>
      <x:c r="I67" t="str">
        <x:v>Aprovado</x:v>
      </x:c>
    </x:row>
    <x:row r="68" ht="21" customHeight="1">
      <x:c r="A68" t="str">
        <x:v>ORC-067</x:v>
      </x:c>
      <x:c r="B68" s="10" t="n">
        <x:v>45901</x:v>
      </x:c>
      <x:c r="C68" t="n">
        <x:v>9</x:v>
      </x:c>
      <x:c r="D68" t="str">
        <x:v>RH</x:v>
      </x:c>
      <x:c r="E68" s="8" t="n">
        <x:v>10100</x:v>
      </x:c>
      <x:c r="F68" s="8" t="n">
        <x:f>SUMIFS(Financeiro!$I$2:$I$217,Financeiro!$C$2:$C$217,C68,Financeiro!$E$2:$E$217,D68,Financeiro!$D$2:$D$217,"Despesa")</x:f>
        <x:v>8824.37</x:v>
      </x:c>
      <x:c r="G68" s="8" t="n">
        <x:f>F68-E68</x:f>
        <x:v>-1275.6299999999992</x:v>
      </x:c>
      <x:c r="H68" s="12" t="n">
        <x:f>IF(E68=0,0,G68/E68)</x:f>
        <x:v>-0.1262999999999999</x:v>
      </x:c>
      <x:c r="I68" t="str">
        <x:v>Aprovado</x:v>
      </x:c>
    </x:row>
    <x:row r="69" ht="21" customHeight="1">
      <x:c r="A69" t="str">
        <x:v>ORC-068</x:v>
      </x:c>
      <x:c r="B69" s="10" t="n">
        <x:v>45901</x:v>
      </x:c>
      <x:c r="C69" t="n">
        <x:v>9</x:v>
      </x:c>
      <x:c r="D69" t="str">
        <x:v>Marketing</x:v>
      </x:c>
      <x:c r="E69" s="8" t="n">
        <x:v>16400</x:v>
      </x:c>
      <x:c r="F69" s="8" t="n">
        <x:f>SUMIFS(Financeiro!$I$2:$I$217,Financeiro!$C$2:$C$217,C69,Financeiro!$E$2:$E$217,D69,Financeiro!$D$2:$D$217,"Despesa")</x:f>
        <x:v>17659.09</x:v>
      </x:c>
      <x:c r="G69" s="8" t="n">
        <x:f>F69-E69</x:f>
        <x:v>1259.0900000000001</x:v>
      </x:c>
      <x:c r="H69" s="12" t="n">
        <x:f>IF(E69=0,0,G69/E69)</x:f>
        <x:v>0.0767737804878049</x:v>
      </x:c>
      <x:c r="I69" t="str">
        <x:v>Aprovado</x:v>
      </x:c>
    </x:row>
    <x:row r="70" ht="21" customHeight="1">
      <x:c r="A70" t="str">
        <x:v>ORC-069</x:v>
      </x:c>
      <x:c r="B70" s="10" t="n">
        <x:v>45901</x:v>
      </x:c>
      <x:c r="C70" t="n">
        <x:v>9</x:v>
      </x:c>
      <x:c r="D70" t="str">
        <x:v>Operações</x:v>
      </x:c>
      <x:c r="E70" s="8" t="n">
        <x:v>18600</x:v>
      </x:c>
      <x:c r="F70" s="8" t="n">
        <x:f>SUMIFS(Financeiro!$I$2:$I$217,Financeiro!$C$2:$C$217,C70,Financeiro!$E$2:$E$217,D70,Financeiro!$D$2:$D$217,"Despesa")</x:f>
        <x:v>20872.11</x:v>
      </x:c>
      <x:c r="G70" s="8" t="n">
        <x:f>F70-E70</x:f>
        <x:v>2272.1100000000006</x:v>
      </x:c>
      <x:c r="H70" s="12" t="n">
        <x:f>IF(E70=0,0,G70/E70)</x:f>
        <x:v>0.12215645161290326</x:v>
      </x:c>
      <x:c r="I70" t="str">
        <x:v>Aprovado</x:v>
      </x:c>
    </x:row>
    <x:row r="71" ht="21" customHeight="1">
      <x:c r="A71" t="str">
        <x:v>ORC-070</x:v>
      </x:c>
      <x:c r="B71" s="10" t="n">
        <x:v>45901</x:v>
      </x:c>
      <x:c r="C71" t="n">
        <x:v>9</x:v>
      </x:c>
      <x:c r="D71" t="str">
        <x:v>Comercial</x:v>
      </x:c>
      <x:c r="E71" s="8" t="n">
        <x:v>13900</x:v>
      </x:c>
      <x:c r="F71" s="8" t="n">
        <x:f>SUMIFS(Financeiro!$I$2:$I$217,Financeiro!$C$2:$C$217,C71,Financeiro!$E$2:$E$217,D71,Financeiro!$D$2:$D$217,"Despesa")</x:f>
        <x:v>13361.23</x:v>
      </x:c>
      <x:c r="G71" s="8" t="n">
        <x:f>F71-E71</x:f>
        <x:v>-538.7700000000004</x:v>
      </x:c>
      <x:c r="H71" s="12" t="n">
        <x:f>IF(E71=0,0,G71/E71)</x:f>
        <x:v>-0.03876043165467629</x:v>
      </x:c>
      <x:c r="I71" t="str">
        <x:v>Aprovado</x:v>
      </x:c>
    </x:row>
    <x:row r="72" ht="21" customHeight="1">
      <x:c r="A72" t="str">
        <x:v>ORC-071</x:v>
      </x:c>
      <x:c r="B72" s="10" t="n">
        <x:v>45901</x:v>
      </x:c>
      <x:c r="C72" t="n">
        <x:v>9</x:v>
      </x:c>
      <x:c r="D72" t="str">
        <x:v>Logística</x:v>
      </x:c>
      <x:c r="E72" s="8" t="n">
        <x:v>20700</x:v>
      </x:c>
      <x:c r="F72" s="8" t="n">
        <x:f>SUMIFS(Financeiro!$I$2:$I$217,Financeiro!$C$2:$C$217,C72,Financeiro!$E$2:$E$217,D72,Financeiro!$D$2:$D$217,"Despesa")</x:f>
        <x:v>19878.34</x:v>
      </x:c>
      <x:c r="G72" s="8" t="n">
        <x:f>F72-E72</x:f>
        <x:v>-821.6599999999999</x:v>
      </x:c>
      <x:c r="H72" s="12" t="n">
        <x:f>IF(E72=0,0,G72/E72)</x:f>
        <x:v>-0.03969371980676328</x:v>
      </x:c>
      <x:c r="I72" t="str">
        <x:v>Aprovado</x:v>
      </x:c>
    </x:row>
    <x:row r="73" ht="21" customHeight="1">
      <x:c r="A73" t="str">
        <x:v>ORC-072</x:v>
      </x:c>
      <x:c r="B73" s="10" t="n">
        <x:v>45901</x:v>
      </x:c>
      <x:c r="C73" t="n">
        <x:v>9</x:v>
      </x:c>
      <x:c r="D73" t="str">
        <x:v>Jurídico</x:v>
      </x:c>
      <x:c r="E73" s="8" t="n">
        <x:v>22100</x:v>
      </x:c>
      <x:c r="F73" s="8" t="n">
        <x:f>SUMIFS(Financeiro!$I$2:$I$217,Financeiro!$C$2:$C$217,C73,Financeiro!$E$2:$E$217,D73,Financeiro!$D$2:$D$217,"Despesa")</x:f>
        <x:v>19652.58</x:v>
      </x:c>
      <x:c r="G73" s="8" t="n">
        <x:f>F73-E73</x:f>
        <x:v>-2447.4199999999983</x:v>
      </x:c>
      <x:c r="H73" s="12" t="n">
        <x:f>IF(E73=0,0,G73/E73)</x:f>
        <x:v>-0.1107429864253393</x:v>
      </x:c>
      <x:c r="I73" t="str">
        <x:v>Aprovado</x:v>
      </x:c>
    </x:row>
    <x:row r="74" ht="21" customHeight="1">
      <x:c r="A74" t="str">
        <x:v>ORC-073</x:v>
      </x:c>
      <x:c r="B74" s="10" t="n">
        <x:v>45931</x:v>
      </x:c>
      <x:c r="C74" t="n">
        <x:v>10</x:v>
      </x:c>
      <x:c r="D74" t="str">
        <x:v>TI</x:v>
      </x:c>
      <x:c r="E74" s="8" t="n">
        <x:v>21700</x:v>
      </x:c>
      <x:c r="F74" s="8" t="n">
        <x:f>SUMIFS(Financeiro!$I$2:$I$217,Financeiro!$C$2:$C$217,C74,Financeiro!$E$2:$E$217,D74,Financeiro!$D$2:$D$217,"Despesa")</x:f>
        <x:v>23443.54</x:v>
      </x:c>
      <x:c r="G74" s="8" t="n">
        <x:f>F74-E74</x:f>
        <x:v>1743.5400000000009</x:v>
      </x:c>
      <x:c r="H74" s="12" t="n">
        <x:f>IF(E74=0,0,G74/E74)</x:f>
        <x:v>0.08034746543778806</x:v>
      </x:c>
      <x:c r="I74" t="str">
        <x:v>Aprovado</x:v>
      </x:c>
    </x:row>
    <x:row r="75" ht="21" customHeight="1">
      <x:c r="A75" t="str">
        <x:v>ORC-074</x:v>
      </x:c>
      <x:c r="B75" s="10" t="n">
        <x:v>45931</x:v>
      </x:c>
      <x:c r="C75" t="n">
        <x:v>10</x:v>
      </x:c>
      <x:c r="D75" t="str">
        <x:v>Financeiro</x:v>
      </x:c>
      <x:c r="E75" s="8" t="n">
        <x:v>21800</x:v>
      </x:c>
      <x:c r="F75" s="8" t="n">
        <x:f>SUMIFS(Financeiro!$I$2:$I$217,Financeiro!$C$2:$C$217,C75,Financeiro!$E$2:$E$217,D75,Financeiro!$D$2:$D$217,"Despesa")</x:f>
        <x:v>22905.18</x:v>
      </x:c>
      <x:c r="G75" s="8" t="n">
        <x:f>F75-E75</x:f>
        <x:v>1105.1800000000003</x:v>
      </x:c>
      <x:c r="H75" s="12" t="n">
        <x:f>IF(E75=0,0,G75/E75)</x:f>
        <x:v>0.05069633027522937</x:v>
      </x:c>
      <x:c r="I75" t="str">
        <x:v>Aprovado</x:v>
      </x:c>
    </x:row>
    <x:row r="76" ht="21" customHeight="1">
      <x:c r="A76" t="str">
        <x:v>ORC-075</x:v>
      </x:c>
      <x:c r="B76" s="10" t="n">
        <x:v>45931</x:v>
      </x:c>
      <x:c r="C76" t="n">
        <x:v>10</x:v>
      </x:c>
      <x:c r="D76" t="str">
        <x:v>RH</x:v>
      </x:c>
      <x:c r="E76" s="8" t="n">
        <x:v>12100</x:v>
      </x:c>
      <x:c r="F76" s="8" t="n">
        <x:f>SUMIFS(Financeiro!$I$2:$I$217,Financeiro!$C$2:$C$217,C76,Financeiro!$E$2:$E$217,D76,Financeiro!$D$2:$D$217,"Despesa")</x:f>
        <x:v>10559.63</x:v>
      </x:c>
      <x:c r="G76" s="8" t="n">
        <x:f>F76-E76</x:f>
        <x:v>-1540.3700000000008</x:v>
      </x:c>
      <x:c r="H76" s="12" t="n">
        <x:f>IF(E76=0,0,G76/E76)</x:f>
        <x:v>-0.12730330578512403</x:v>
      </x:c>
      <x:c r="I76" t="str">
        <x:v>Aprovado</x:v>
      </x:c>
    </x:row>
    <x:row r="77" ht="21" customHeight="1">
      <x:c r="A77" t="str">
        <x:v>ORC-076</x:v>
      </x:c>
      <x:c r="B77" s="10" t="n">
        <x:v>45931</x:v>
      </x:c>
      <x:c r="C77" t="n">
        <x:v>10</x:v>
      </x:c>
      <x:c r="D77" t="str">
        <x:v>Marketing</x:v>
      </x:c>
      <x:c r="E77" s="8" t="n">
        <x:v>10300</x:v>
      </x:c>
      <x:c r="F77" s="8" t="n">
        <x:f>SUMIFS(Financeiro!$I$2:$I$217,Financeiro!$C$2:$C$217,C77,Financeiro!$E$2:$E$217,D77,Financeiro!$D$2:$D$217,"Despesa")</x:f>
        <x:v>11122.01</x:v>
      </x:c>
      <x:c r="G77" s="8" t="n">
        <x:f>F77-E77</x:f>
        <x:v>822.0100000000002</x:v>
      </x:c>
      <x:c r="H77" s="12" t="n">
        <x:f>IF(E77=0,0,G77/E77)</x:f>
        <x:v>0.07980679611650487</x:v>
      </x:c>
      <x:c r="I77" t="str">
        <x:v>Aprovado</x:v>
      </x:c>
    </x:row>
    <x:row r="78" ht="21" customHeight="1">
      <x:c r="A78" t="str">
        <x:v>ORC-077</x:v>
      </x:c>
      <x:c r="B78" s="10" t="n">
        <x:v>45931</x:v>
      </x:c>
      <x:c r="C78" t="n">
        <x:v>10</x:v>
      </x:c>
      <x:c r="D78" t="str">
        <x:v>Operações</x:v>
      </x:c>
      <x:c r="E78" s="8" t="n">
        <x:v>10300</x:v>
      </x:c>
      <x:c r="F78" s="8" t="n">
        <x:f>SUMIFS(Financeiro!$I$2:$I$217,Financeiro!$C$2:$C$217,C78,Financeiro!$E$2:$E$217,D78,Financeiro!$D$2:$D$217,"Despesa")</x:f>
        <x:v>10812.67</x:v>
      </x:c>
      <x:c r="G78" s="8" t="n">
        <x:f>F78-E78</x:f>
        <x:v>512.6700000000001</x:v>
      </x:c>
      <x:c r="H78" s="12" t="n">
        <x:f>IF(E78=0,0,G78/E78)</x:f>
        <x:v>0.049773786407766994</x:v>
      </x:c>
      <x:c r="I78" t="str">
        <x:v>Aprovado</x:v>
      </x:c>
    </x:row>
    <x:row r="79" ht="21" customHeight="1">
      <x:c r="A79" t="str">
        <x:v>ORC-078</x:v>
      </x:c>
      <x:c r="B79" s="10" t="n">
        <x:v>45931</x:v>
      </x:c>
      <x:c r="C79" t="n">
        <x:v>10</x:v>
      </x:c>
      <x:c r="D79" t="str">
        <x:v>Comercial</x:v>
      </x:c>
      <x:c r="E79" s="8" t="n">
        <x:v>11400</x:v>
      </x:c>
      <x:c r="F79" s="8" t="n">
        <x:f>SUMIFS(Financeiro!$I$2:$I$217,Financeiro!$C$2:$C$217,C79,Financeiro!$E$2:$E$217,D79,Financeiro!$D$2:$D$217,"Despesa")</x:f>
        <x:v>12714.51</x:v>
      </x:c>
      <x:c r="G79" s="8" t="n">
        <x:f>F79-E79</x:f>
        <x:v>1314.5100000000002</x:v>
      </x:c>
      <x:c r="H79" s="12" t="n">
        <x:f>IF(E79=0,0,G79/E79)</x:f>
        <x:v>0.11530789473684212</x:v>
      </x:c>
      <x:c r="I79" t="str">
        <x:v>Aprovado</x:v>
      </x:c>
    </x:row>
    <x:row r="80" ht="21" customHeight="1">
      <x:c r="A80" t="str">
        <x:v>ORC-079</x:v>
      </x:c>
      <x:c r="B80" s="10" t="n">
        <x:v>45931</x:v>
      </x:c>
      <x:c r="C80" t="n">
        <x:v>10</x:v>
      </x:c>
      <x:c r="D80" t="str">
        <x:v>Logística</x:v>
      </x:c>
      <x:c r="E80" s="8" t="n">
        <x:v>22000</x:v>
      </x:c>
      <x:c r="F80" s="8" t="n">
        <x:f>SUMIFS(Financeiro!$I$2:$I$217,Financeiro!$C$2:$C$217,C80,Financeiro!$E$2:$E$217,D80,Financeiro!$D$2:$D$217,"Despesa")</x:f>
        <x:v>21074.98</x:v>
      </x:c>
      <x:c r="G80" s="8" t="n">
        <x:f>F80-E80</x:f>
        <x:v>-925.0200000000004</x:v>
      </x:c>
      <x:c r="H80" s="12" t="n">
        <x:f>IF(E80=0,0,G80/E80)</x:f>
        <x:v>-0.04204636363636366</x:v>
      </x:c>
      <x:c r="I80" t="str">
        <x:v>Aprovado</x:v>
      </x:c>
    </x:row>
    <x:row r="81" ht="21" customHeight="1">
      <x:c r="A81" t="str">
        <x:v>ORC-080</x:v>
      </x:c>
      <x:c r="B81" s="10" t="n">
        <x:v>45931</x:v>
      </x:c>
      <x:c r="C81" t="n">
        <x:v>10</x:v>
      </x:c>
      <x:c r="D81" t="str">
        <x:v>Jurídico</x:v>
      </x:c>
      <x:c r="E81" s="8" t="n">
        <x:v>81000</x:v>
      </x:c>
      <x:c r="F81" s="8" t="n">
        <x:f>SUMIFS(Financeiro!$I$2:$I$217,Financeiro!$C$2:$C$217,C81,Financeiro!$E$2:$E$217,D81,Financeiro!$D$2:$D$217,"Despesa")</x:f>
        <x:v>90723.5</x:v>
      </x:c>
      <x:c r="G81" s="8" t="n">
        <x:f>F81-E81</x:f>
        <x:v>9723.5</x:v>
      </x:c>
      <x:c r="H81" s="12" t="n">
        <x:f>IF(E81=0,0,G81/E81)</x:f>
        <x:v>0.12004320987654321</x:v>
      </x:c>
      <x:c r="I81" t="str">
        <x:v>Aprovado</x:v>
      </x:c>
    </x:row>
    <x:row r="82" ht="21" customHeight="1">
      <x:c r="A82" t="str">
        <x:v>ORC-081</x:v>
      </x:c>
      <x:c r="B82" s="10" t="n">
        <x:v>45962</x:v>
      </x:c>
      <x:c r="C82" t="n">
        <x:v>11</x:v>
      </x:c>
      <x:c r="D82" t="str">
        <x:v>TI</x:v>
      </x:c>
      <x:c r="E82" s="8" t="n">
        <x:v>39700</x:v>
      </x:c>
      <x:c r="F82" s="8" t="n">
        <x:f>SUMIFS(Financeiro!$I$2:$I$217,Financeiro!$C$2:$C$217,C82,Financeiro!$E$2:$E$217,D82,Financeiro!$D$2:$D$217,"Despesa")</x:f>
        <x:v>42911.2</x:v>
      </x:c>
      <x:c r="G82" s="8" t="n">
        <x:f>F82-E82</x:f>
        <x:v>3211.199999999997</x:v>
      </x:c>
      <x:c r="H82" s="12" t="n">
        <x:f>IF(E82=0,0,G82/E82)</x:f>
        <x:v>0.08088664987405535</x:v>
      </x:c>
      <x:c r="I82" t="str">
        <x:v>Aprovado</x:v>
      </x:c>
    </x:row>
    <x:row r="83" ht="21" customHeight="1">
      <x:c r="A83" t="str">
        <x:v>ORC-082</x:v>
      </x:c>
      <x:c r="B83" s="10" t="n">
        <x:v>45962</x:v>
      </x:c>
      <x:c r="C83" t="n">
        <x:v>11</x:v>
      </x:c>
      <x:c r="D83" t="str">
        <x:v>Financeiro</x:v>
      </x:c>
      <x:c r="E83" s="8" t="n">
        <x:v>21500</x:v>
      </x:c>
      <x:c r="F83" s="8" t="n">
        <x:f>SUMIFS(Financeiro!$I$2:$I$217,Financeiro!$C$2:$C$217,C83,Financeiro!$E$2:$E$217,D83,Financeiro!$D$2:$D$217,"Despesa")</x:f>
        <x:v>24110.46</x:v>
      </x:c>
      <x:c r="G83" s="8" t="n">
        <x:f>F83-E83</x:f>
        <x:v>2610.459999999999</x:v>
      </x:c>
      <x:c r="H83" s="12" t="n">
        <x:f>IF(E83=0,0,G83/E83)</x:f>
        <x:v>0.12141674418604648</x:v>
      </x:c>
      <x:c r="I83" t="str">
        <x:v>Aprovado</x:v>
      </x:c>
    </x:row>
    <x:row r="84" ht="21" customHeight="1">
      <x:c r="A84" t="str">
        <x:v>ORC-083</x:v>
      </x:c>
      <x:c r="B84" s="10" t="n">
        <x:v>45962</x:v>
      </x:c>
      <x:c r="C84" t="n">
        <x:v>11</x:v>
      </x:c>
      <x:c r="D84" t="str">
        <x:v>RH</x:v>
      </x:c>
      <x:c r="E84" s="8" t="n">
        <x:v>11000</x:v>
      </x:c>
      <x:c r="F84" s="8" t="n">
        <x:f>SUMIFS(Financeiro!$I$2:$I$217,Financeiro!$C$2:$C$217,C84,Financeiro!$E$2:$E$217,D84,Financeiro!$D$2:$D$217,"Despesa")</x:f>
        <x:v>9536.31</x:v>
      </x:c>
      <x:c r="G84" s="8" t="n">
        <x:f>F84-E84</x:f>
        <x:v>-1463.6900000000005</x:v>
      </x:c>
      <x:c r="H84" s="12" t="n">
        <x:f>IF(E84=0,0,G84/E84)</x:f>
        <x:v>-0.13306272727272733</x:v>
      </x:c>
      <x:c r="I84" t="str">
        <x:v>Aprovado</x:v>
      </x:c>
    </x:row>
    <x:row r="85" ht="21" customHeight="1">
      <x:c r="A85" t="str">
        <x:v>ORC-084</x:v>
      </x:c>
      <x:c r="B85" s="10" t="n">
        <x:v>45962</x:v>
      </x:c>
      <x:c r="C85" t="n">
        <x:v>11</x:v>
      </x:c>
      <x:c r="D85" t="str">
        <x:v>Marketing</x:v>
      </x:c>
      <x:c r="E85" s="8" t="n">
        <x:v>20500</x:v>
      </x:c>
      <x:c r="F85" s="8" t="n">
        <x:f>SUMIFS(Financeiro!$I$2:$I$217,Financeiro!$C$2:$C$217,C85,Financeiro!$E$2:$E$217,D85,Financeiro!$D$2:$D$217,"Despesa")</x:f>
        <x:v>22143.11</x:v>
      </x:c>
      <x:c r="G85" s="8" t="n">
        <x:f>F85-E85</x:f>
        <x:v>1643.1100000000006</x:v>
      </x:c>
      <x:c r="H85" s="12" t="n">
        <x:f>IF(E85=0,0,G85/E85)</x:f>
        <x:v>0.0801517073170732</x:v>
      </x:c>
      <x:c r="I85" t="str">
        <x:v>Aprovado</x:v>
      </x:c>
    </x:row>
    <x:row r="86" ht="21" customHeight="1">
      <x:c r="A86" t="str">
        <x:v>ORC-085</x:v>
      </x:c>
      <x:c r="B86" s="10" t="n">
        <x:v>45962</x:v>
      </x:c>
      <x:c r="C86" t="n">
        <x:v>11</x:v>
      </x:c>
      <x:c r="D86" t="str">
        <x:v>Operações</x:v>
      </x:c>
      <x:c r="E86" s="8" t="n">
        <x:v>19800</x:v>
      </x:c>
      <x:c r="F86" s="8" t="n">
        <x:f>SUMIFS(Financeiro!$I$2:$I$217,Financeiro!$C$2:$C$217,C86,Financeiro!$E$2:$E$217,D86,Financeiro!$D$2:$D$217,"Despesa")</x:f>
        <x:v>22172.24</x:v>
      </x:c>
      <x:c r="G86" s="8" t="n">
        <x:f>F86-E86</x:f>
        <x:v>2372.2400000000016</x:v>
      </x:c>
      <x:c r="H86" s="12" t="n">
        <x:f>IF(E86=0,0,G86/E86)</x:f>
        <x:v>0.11981010101010109</x:v>
      </x:c>
      <x:c r="I86" t="str">
        <x:v>Aprovado</x:v>
      </x:c>
    </x:row>
    <x:row r="87" ht="21" customHeight="1">
      <x:c r="A87" t="str">
        <x:v>ORC-086</x:v>
      </x:c>
      <x:c r="B87" s="10" t="n">
        <x:v>45962</x:v>
      </x:c>
      <x:c r="C87" t="n">
        <x:v>11</x:v>
      </x:c>
      <x:c r="D87" t="str">
        <x:v>Comercial</x:v>
      </x:c>
      <x:c r="E87" s="8" t="n">
        <x:v>10900</x:v>
      </x:c>
      <x:c r="F87" s="8" t="n">
        <x:f>SUMIFS(Financeiro!$I$2:$I$217,Financeiro!$C$2:$C$217,C87,Financeiro!$E$2:$E$217,D87,Financeiro!$D$2:$D$217,"Despesa")</x:f>
        <x:v>12159.03</x:v>
      </x:c>
      <x:c r="G87" s="8" t="n">
        <x:f>F87-E87</x:f>
        <x:v>1259.0300000000007</x:v>
      </x:c>
      <x:c r="H87" s="12" t="n">
        <x:f>IF(E87=0,0,G87/E87)</x:f>
        <x:v>0.11550733944954135</x:v>
      </x:c>
      <x:c r="I87" t="str">
        <x:v>Aprovado</x:v>
      </x:c>
    </x:row>
    <x:row r="88" ht="21" customHeight="1">
      <x:c r="A88" t="str">
        <x:v>ORC-087</x:v>
      </x:c>
      <x:c r="B88" s="10" t="n">
        <x:v>45962</x:v>
      </x:c>
      <x:c r="C88" t="n">
        <x:v>11</x:v>
      </x:c>
      <x:c r="D88" t="str">
        <x:v>Logística</x:v>
      </x:c>
      <x:c r="E88" s="8" t="n">
        <x:v>23200</x:v>
      </x:c>
      <x:c r="F88" s="8" t="n">
        <x:f>SUMIFS(Financeiro!$I$2:$I$217,Financeiro!$C$2:$C$217,C88,Financeiro!$E$2:$E$217,D88,Financeiro!$D$2:$D$217,"Despesa")</x:f>
        <x:v>20669.52</x:v>
      </x:c>
      <x:c r="G88" s="8" t="n">
        <x:f>F88-E88</x:f>
        <x:v>-2530.4799999999996</x:v>
      </x:c>
      <x:c r="H88" s="12" t="n">
        <x:f>IF(E88=0,0,G88/E88)</x:f>
        <x:v>-0.10907241379310342</x:v>
      </x:c>
      <x:c r="I88" t="str">
        <x:v>Aprovado</x:v>
      </x:c>
    </x:row>
    <x:row r="89" ht="21" customHeight="1">
      <x:c r="A89" t="str">
        <x:v>ORC-088</x:v>
      </x:c>
      <x:c r="B89" s="10" t="n">
        <x:v>45962</x:v>
      </x:c>
      <x:c r="C89" t="n">
        <x:v>11</x:v>
      </x:c>
      <x:c r="D89" t="str">
        <x:v>Jurídico</x:v>
      </x:c>
      <x:c r="E89" s="8" t="n">
        <x:v>22900</x:v>
      </x:c>
      <x:c r="F89" s="8" t="n">
        <x:f>SUMIFS(Financeiro!$I$2:$I$217,Financeiro!$C$2:$C$217,C89,Financeiro!$E$2:$E$217,D89,Financeiro!$D$2:$D$217,"Despesa")</x:f>
        <x:v>22012.89</x:v>
      </x:c>
      <x:c r="G89" s="8" t="n">
        <x:f>F89-E89</x:f>
        <x:v>-887.1100000000006</x:v>
      </x:c>
      <x:c r="H89" s="12" t="n">
        <x:f>IF(E89=0,0,G89/E89)</x:f>
        <x:v>-0.038738427947598277</x:v>
      </x:c>
      <x:c r="I89" t="str">
        <x:v>Aprovado</x:v>
      </x:c>
    </x:row>
    <x:row r="90" ht="21" customHeight="1">
      <x:c r="A90" t="str">
        <x:v>ORC-089</x:v>
      </x:c>
      <x:c r="B90" s="10" t="n">
        <x:v>45992</x:v>
      </x:c>
      <x:c r="C90" t="n">
        <x:v>12</x:v>
      </x:c>
      <x:c r="D90" t="str">
        <x:v>TI</x:v>
      </x:c>
      <x:c r="E90" s="8" t="n">
        <x:v>22900</x:v>
      </x:c>
      <x:c r="F90" s="8" t="n">
        <x:f>SUMIFS(Financeiro!$I$2:$I$217,Financeiro!$C$2:$C$217,C90,Financeiro!$E$2:$E$217,D90,Financeiro!$D$2:$D$217,"Despesa")</x:f>
        <x:v>24702.02</x:v>
      </x:c>
      <x:c r="G90" s="8" t="n">
        <x:f>F90-E90</x:f>
        <x:v>1802.0200000000004</x:v>
      </x:c>
      <x:c r="H90" s="12" t="n">
        <x:f>IF(E90=0,0,G90/E90)</x:f>
        <x:v>0.07869082969432316</x:v>
      </x:c>
      <x:c r="I90" t="str">
        <x:v>Aprovado</x:v>
      </x:c>
    </x:row>
    <x:row r="91" ht="21" customHeight="1">
      <x:c r="A91" t="str">
        <x:v>ORC-090</x:v>
      </x:c>
      <x:c r="B91" s="10" t="n">
        <x:v>45992</x:v>
      </x:c>
      <x:c r="C91" t="n">
        <x:v>12</x:v>
      </x:c>
      <x:c r="D91" t="str">
        <x:v>Financeiro</x:v>
      </x:c>
      <x:c r="E91" s="8" t="n">
        <x:v>27700</x:v>
      </x:c>
      <x:c r="F91" s="8" t="n">
        <x:f>SUMIFS(Financeiro!$I$2:$I$217,Financeiro!$C$2:$C$217,C91,Financeiro!$E$2:$E$217,D91,Financeiro!$D$2:$D$217,"Despesa")</x:f>
        <x:v>24628.98</x:v>
      </x:c>
      <x:c r="G91" s="8" t="n">
        <x:f>F91-E91</x:f>
        <x:v>-3071.0200000000004</x:v>
      </x:c>
      <x:c r="H91" s="12" t="n">
        <x:f>IF(E91=0,0,G91/E91)</x:f>
        <x:v>-0.11086714801444045</x:v>
      </x:c>
      <x:c r="I91" t="str">
        <x:v>Aprovado</x:v>
      </x:c>
    </x:row>
    <x:row r="92" ht="21" customHeight="1">
      <x:c r="A92" t="str">
        <x:v>ORC-091</x:v>
      </x:c>
      <x:c r="B92" s="10" t="n">
        <x:v>45992</x:v>
      </x:c>
      <x:c r="C92" t="n">
        <x:v>12</x:v>
      </x:c>
      <x:c r="D92" t="str">
        <x:v>RH</x:v>
      </x:c>
      <x:c r="E92" s="8" t="n">
        <x:v>11300</x:v>
      </x:c>
      <x:c r="F92" s="8" t="n">
        <x:f>SUMIFS(Financeiro!$I$2:$I$217,Financeiro!$C$2:$C$217,C92,Financeiro!$E$2:$E$217,D92,Financeiro!$D$2:$D$217,"Despesa")</x:f>
        <x:v>9829.45</x:v>
      </x:c>
      <x:c r="G92" s="8" t="n">
        <x:f>F92-E92</x:f>
        <x:v>-1470.5499999999993</x:v>
      </x:c>
      <x:c r="H92" s="12" t="n">
        <x:f>IF(E92=0,0,G92/E92)</x:f>
        <x:v>-0.13013716814159285</x:v>
      </x:c>
      <x:c r="I92" t="str">
        <x:v>Aprovado</x:v>
      </x:c>
    </x:row>
    <x:row r="93" ht="21" customHeight="1">
      <x:c r="A93" t="str">
        <x:v>ORC-092</x:v>
      </x:c>
      <x:c r="B93" s="10" t="n">
        <x:v>45992</x:v>
      </x:c>
      <x:c r="C93" t="n">
        <x:v>12</x:v>
      </x:c>
      <x:c r="D93" t="str">
        <x:v>Marketing</x:v>
      </x:c>
      <x:c r="E93" s="8" t="n">
        <x:v>10500</x:v>
      </x:c>
      <x:c r="F93" s="8" t="n">
        <x:f>SUMIFS(Financeiro!$I$2:$I$217,Financeiro!$C$2:$C$217,C93,Financeiro!$E$2:$E$217,D93,Financeiro!$D$2:$D$217,"Despesa")</x:f>
        <x:v>11333.67</x:v>
      </x:c>
      <x:c r="G93" s="8" t="n">
        <x:f>F93-E93</x:f>
        <x:v>833.6700000000001</x:v>
      </x:c>
      <x:c r="H93" s="12" t="n">
        <x:f>IF(E93=0,0,G93/E93)</x:f>
        <x:v>0.07939714285714286</x:v>
      </x:c>
      <x:c r="I93" t="str">
        <x:v>Aprovado</x:v>
      </x:c>
    </x:row>
    <x:row r="94" ht="21" customHeight="1">
      <x:c r="A94" t="str">
        <x:v>ORC-093</x:v>
      </x:c>
      <x:c r="B94" s="10" t="n">
        <x:v>45992</x:v>
      </x:c>
      <x:c r="C94" t="n">
        <x:v>12</x:v>
      </x:c>
      <x:c r="D94" t="str">
        <x:v>Operações</x:v>
      </x:c>
      <x:c r="E94" s="8" t="n">
        <x:v>13900</x:v>
      </x:c>
      <x:c r="F94" s="8" t="n">
        <x:f>SUMIFS(Financeiro!$I$2:$I$217,Financeiro!$C$2:$C$217,C94,Financeiro!$E$2:$E$217,D94,Financeiro!$D$2:$D$217,"Despesa")</x:f>
        <x:v>12332.82</x:v>
      </x:c>
      <x:c r="G94" s="8" t="n">
        <x:f>F94-E94</x:f>
        <x:v>-1567.1800000000003</x:v>
      </x:c>
      <x:c r="H94" s="12" t="n">
        <x:f>IF(E94=0,0,G94/E94)</x:f>
        <x:v>-0.11274676258992808</x:v>
      </x:c>
      <x:c r="I94" t="str">
        <x:v>Aprovado</x:v>
      </x:c>
    </x:row>
    <x:row r="95" ht="21" customHeight="1">
      <x:c r="A95" t="str">
        <x:v>ORC-094</x:v>
      </x:c>
      <x:c r="B95" s="10" t="n">
        <x:v>45992</x:v>
      </x:c>
      <x:c r="C95" t="n">
        <x:v>12</x:v>
      </x:c>
      <x:c r="D95" t="str">
        <x:v>Comercial</x:v>
      </x:c>
      <x:c r="E95" s="8" t="n">
        <x:v>12800</x:v>
      </x:c>
      <x:c r="F95" s="8" t="n">
        <x:f>SUMIFS(Financeiro!$I$2:$I$217,Financeiro!$C$2:$C$217,C95,Financeiro!$E$2:$E$217,D95,Financeiro!$D$2:$D$217,"Despesa")</x:f>
        <x:v>12258.89</x:v>
      </x:c>
      <x:c r="G95" s="8" t="n">
        <x:f>F95-E95</x:f>
        <x:v>-541.1100000000006</x:v>
      </x:c>
      <x:c r="H95" s="12" t="n">
        <x:f>IF(E95=0,0,G95/E95)</x:f>
        <x:v>-0.042274218750000044</x:v>
      </x:c>
      <x:c r="I95" t="str">
        <x:v>Aprovado</x:v>
      </x:c>
    </x:row>
    <x:row r="96" ht="21" customHeight="1">
      <x:c r="A96" t="str">
        <x:v>ORC-095</x:v>
      </x:c>
      <x:c r="B96" s="10" t="n">
        <x:v>45992</x:v>
      </x:c>
      <x:c r="C96" t="n">
        <x:v>12</x:v>
      </x:c>
      <x:c r="D96" t="str">
        <x:v>Logística</x:v>
      </x:c>
      <x:c r="E96" s="8" t="n">
        <x:v>18700</x:v>
      </x:c>
      <x:c r="F96" s="8" t="n">
        <x:f>SUMIFS(Financeiro!$I$2:$I$217,Financeiro!$C$2:$C$217,C96,Financeiro!$E$2:$E$217,D96,Financeiro!$D$2:$D$217,"Despesa")</x:f>
        <x:v>17930.61</x:v>
      </x:c>
      <x:c r="G96" s="8" t="n">
        <x:f>F96-E96</x:f>
        <x:v>-769.3899999999994</x:v>
      </x:c>
      <x:c r="H96" s="12" t="n">
        <x:f>IF(E96=0,0,G96/E96)</x:f>
        <x:v>-0.04114385026737965</x:v>
      </x:c>
      <x:c r="I96" t="str">
        <x:v>Aprovado</x:v>
      </x:c>
    </x:row>
    <x:row r="97" ht="21" customHeight="1">
      <x:c r="A97" t="str">
        <x:v>ORC-096</x:v>
      </x:c>
      <x:c r="B97" s="10" t="n">
        <x:v>45992</x:v>
      </x:c>
      <x:c r="C97" t="n">
        <x:v>12</x:v>
      </x:c>
      <x:c r="D97" t="str">
        <x:v>Jurídico</x:v>
      </x:c>
      <x:c r="E97" s="8" t="n">
        <x:v>20600</x:v>
      </x:c>
      <x:c r="F97" s="8" t="n">
        <x:f>SUMIFS(Financeiro!$I$2:$I$217,Financeiro!$C$2:$C$217,C97,Financeiro!$E$2:$E$217,D97,Financeiro!$D$2:$D$217,"Despesa")</x:f>
        <x:v>21648.989999999998</x:v>
      </x:c>
      <x:c r="G97" s="8" t="n">
        <x:f>F97-E97</x:f>
        <x:v>1048.989999999998</x:v>
      </x:c>
      <x:c r="H97" s="12" t="n">
        <x:f>IF(E97=0,0,G97/E97)</x:f>
        <x:v>0.050921844660194074</x:v>
      </x:c>
      <x:c r="I97" t="str">
        <x:v>Aprovado</x:v>
      </x:c>
    </x:row>
  </x:sheetData>
  <x:conditionalFormatting sqref="H2:H97">
    <x:cfRule type="cellIs" dxfId="0" priority="1" operator="greaterThan">
      <x:formula>0.1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74e2089bd944698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5" hidden="0" customWidth="1"/>
    <x:col min="3" max="3" width="18" hidden="0" customWidth="1"/>
    <x:col min="4" max="4" width="23" hidden="0" customWidth="1"/>
    <x:col min="5" max="5" width="19" hidden="0" customWidth="1"/>
    <x:col min="6" max="6" width="13" hidden="0" customWidth="1"/>
    <x:col min="7" max="7" width="17" hidden="0" customWidth="1"/>
    <x:col min="8" max="8" width="17" hidden="0" customWidth="1"/>
    <x:col min="9" max="9" width="20" hidden="0" customWidth="1"/>
    <x:col min="10" max="10" width="18" hidden="0" customWidth="1"/>
    <x:col min="11" max="11" width="17" hidden="0" customWidth="1"/>
  </x:cols>
  <x:sheetData>
    <x:row r="1" ht="30" customHeight="1">
      <x:c r="A1" s="4" t="str">
        <x:v>Patrimônio</x:v>
      </x:c>
      <x:c r="B1" s="4" t="str">
        <x:v>Tipo</x:v>
      </x:c>
      <x:c r="C1" s="4" t="str">
        <x:v>Fabricante</x:v>
      </x:c>
      <x:c r="D1" s="4" t="str">
        <x:v>Modelo</x:v>
      </x:c>
      <x:c r="E1" s="4" t="str">
        <x:v>Departamento</x:v>
      </x:c>
      <x:c r="F1" s="4" t="str">
        <x:v>Unidade</x:v>
      </x:c>
      <x:c r="G1" s="4" t="str">
        <x:v>Aquisição</x:v>
      </x:c>
      <x:c r="H1" s="4" t="str">
        <x:v>Fim garantia</x:v>
      </x:c>
      <x:c r="I1" s="4" t="str">
        <x:v>Valor (R$)</x:v>
      </x:c>
      <x:c r="J1" s="4" t="str">
        <x:v>Vida útil (anos)</x:v>
      </x:c>
      <x:c r="K1" s="4" t="str">
        <x:v>Situação</x:v>
      </x:c>
    </x:row>
    <x:row r="2" ht="21" customHeight="1">
      <x:c r="A2" t="str">
        <x:v>AT-0001</x:v>
      </x:c>
      <x:c r="B2" t="str">
        <x:v>Notebook</x:v>
      </x:c>
      <x:c r="C2" t="str">
        <x:v>Dell</x:v>
      </x:c>
      <x:c r="D2" t="str">
        <x:v>Latitude 5440</x:v>
      </x:c>
      <x:c r="E2" t="str">
        <x:v>TI</x:v>
      </x:c>
      <x:c r="F2" t="str">
        <x:v>SP-01</x:v>
      </x:c>
      <x:c r="G2" s="10" t="n">
        <x:v>42736</x:v>
      </x:c>
      <x:c r="H2" s="10" t="n">
        <x:v>43831</x:v>
      </x:c>
      <x:c r="I2" s="8" t="n">
        <x:v>5683</x:v>
      </x:c>
      <x:c r="J2" t="n">
        <x:v>5</x:v>
      </x:c>
      <x:c r="K2" t="str">
        <x:v>Reserva</x:v>
      </x:c>
    </x:row>
    <x:row r="3" ht="21" customHeight="1">
      <x:c r="A3" t="str">
        <x:v>AT-0002</x:v>
      </x:c>
      <x:c r="B3" t="str">
        <x:v>Notebook</x:v>
      </x:c>
      <x:c r="C3" t="str">
        <x:v>Lenovo</x:v>
      </x:c>
      <x:c r="D3" t="str">
        <x:v>ThinkPad T14</x:v>
      </x:c>
      <x:c r="E3" t="str">
        <x:v>Marketing</x:v>
      </x:c>
      <x:c r="F3" t="str">
        <x:v>SP-02</x:v>
      </x:c>
      <x:c r="G3" s="10" t="n">
        <x:v>43324</x:v>
      </x:c>
      <x:c r="H3" s="10" t="n">
        <x:v>44419</x:v>
      </x:c>
      <x:c r="I3" s="8" t="n">
        <x:v>7806</x:v>
      </x:c>
      <x:c r="J3" t="n">
        <x:v>5</x:v>
      </x:c>
      <x:c r="K3" t="str">
        <x:v>Em uso</x:v>
      </x:c>
    </x:row>
    <x:row r="4" ht="21" customHeight="1">
      <x:c r="A4" t="str">
        <x:v>AT-0003</x:v>
      </x:c>
      <x:c r="B4" t="str">
        <x:v>Notebook</x:v>
      </x:c>
      <x:c r="C4" t="str">
        <x:v>HP</x:v>
      </x:c>
      <x:c r="D4" t="str">
        <x:v>EliteBook 840</x:v>
      </x:c>
      <x:c r="E4" t="str">
        <x:v>Logística</x:v>
      </x:c>
      <x:c r="F4" t="str">
        <x:v>SP-03</x:v>
      </x:c>
      <x:c r="G4" s="10" t="n">
        <x:v>43547</x:v>
      </x:c>
      <x:c r="H4" s="10" t="n">
        <x:v>44642</x:v>
      </x:c>
      <x:c r="I4" s="8" t="n">
        <x:v>5485</x:v>
      </x:c>
      <x:c r="J4" t="n">
        <x:v>5</x:v>
      </x:c>
      <x:c r="K4" t="str">
        <x:v>Em uso</x:v>
      </x:c>
    </x:row>
    <x:row r="5" ht="21" customHeight="1">
      <x:c r="A5" t="str">
        <x:v>AT-0004</x:v>
      </x:c>
      <x:c r="B5" t="str">
        <x:v>Servidor</x:v>
      </x:c>
      <x:c r="C5" t="str">
        <x:v>Dell</x:v>
      </x:c>
      <x:c r="D5" t="str">
        <x:v>PowerEdge R650</x:v>
      </x:c>
      <x:c r="E5" t="str">
        <x:v>Financeiro</x:v>
      </x:c>
      <x:c r="F5" t="str">
        <x:v>SP-04</x:v>
      </x:c>
      <x:c r="G5" s="10" t="n">
        <x:v>44111</x:v>
      </x:c>
      <x:c r="H5" s="10" t="n">
        <x:v>45936</x:v>
      </x:c>
      <x:c r="I5" s="8" t="n">
        <x:v>43403</x:v>
      </x:c>
      <x:c r="J5" t="n">
        <x:v>7</x:v>
      </x:c>
      <x:c r="K5" t="str">
        <x:v>Em uso</x:v>
      </x:c>
    </x:row>
    <x:row r="6" ht="21" customHeight="1">
      <x:c r="A6" t="str">
        <x:v>AT-0005</x:v>
      </x:c>
      <x:c r="B6" t="str">
        <x:v>Servidor</x:v>
      </x:c>
      <x:c r="C6" t="str">
        <x:v>HPE</x:v>
      </x:c>
      <x:c r="D6" t="str">
        <x:v>ProLiant DL380</x:v>
      </x:c>
      <x:c r="E6" t="str">
        <x:v>Operações</x:v>
      </x:c>
      <x:c r="F6" t="str">
        <x:v>SP-01</x:v>
      </x:c>
      <x:c r="G6" s="10" t="n">
        <x:v>44334</x:v>
      </x:c>
      <x:c r="H6" s="10" t="n">
        <x:v>46159</x:v>
      </x:c>
      <x:c r="I6" s="8" t="n">
        <x:v>36786</x:v>
      </x:c>
      <x:c r="J6" t="n">
        <x:v>7</x:v>
      </x:c>
      <x:c r="K6" t="str">
        <x:v>Em uso</x:v>
      </x:c>
    </x:row>
    <x:row r="7" ht="21" customHeight="1">
      <x:c r="A7" t="str">
        <x:v>AT-0006</x:v>
      </x:c>
      <x:c r="B7" t="str">
        <x:v>Notebook</x:v>
      </x:c>
      <x:c r="C7" t="str">
        <x:v>Apple</x:v>
      </x:c>
      <x:c r="D7" t="str">
        <x:v>MacBook Pro</x:v>
      </x:c>
      <x:c r="E7" t="str">
        <x:v>Jurídico</x:v>
      </x:c>
      <x:c r="F7" t="str">
        <x:v>SP-02</x:v>
      </x:c>
      <x:c r="G7" s="10" t="n">
        <x:v>44897</x:v>
      </x:c>
      <x:c r="H7" s="10" t="n">
        <x:v>45992</x:v>
      </x:c>
      <x:c r="I7" s="8" t="n">
        <x:v>7527</x:v>
      </x:c>
      <x:c r="J7" t="n">
        <x:v>5</x:v>
      </x:c>
      <x:c r="K7" t="str">
        <x:v>Em uso</x:v>
      </x:c>
    </x:row>
    <x:row r="8" ht="21" customHeight="1">
      <x:c r="A8" t="str">
        <x:v>AT-0007</x:v>
      </x:c>
      <x:c r="B8" t="str">
        <x:v>Notebook</x:v>
      </x:c>
      <x:c r="C8" t="str">
        <x:v>Dell</x:v>
      </x:c>
      <x:c r="D8" t="str">
        <x:v>Latitude 5440</x:v>
      </x:c>
      <x:c r="E8" t="str">
        <x:v>RH</x:v>
      </x:c>
      <x:c r="F8" t="str">
        <x:v>SP-03</x:v>
      </x:c>
      <x:c r="G8" s="10" t="n">
        <x:v>45120</x:v>
      </x:c>
      <x:c r="H8" s="10" t="n">
        <x:v>46215</x:v>
      </x:c>
      <x:c r="I8" s="8" t="n">
        <x:v>5660</x:v>
      </x:c>
      <x:c r="J8" t="n">
        <x:v>5</x:v>
      </x:c>
      <x:c r="K8" t="str">
        <x:v>Em uso</x:v>
      </x:c>
    </x:row>
    <x:row r="9" ht="21" customHeight="1">
      <x:c r="A9" t="str">
        <x:v>AT-0008</x:v>
      </x:c>
      <x:c r="B9" t="str">
        <x:v>Notebook</x:v>
      </x:c>
      <x:c r="C9" t="str">
        <x:v>Lenovo</x:v>
      </x:c>
      <x:c r="D9" t="str">
        <x:v>ThinkPad T14</x:v>
      </x:c>
      <x:c r="E9" t="str">
        <x:v>Comercial</x:v>
      </x:c>
      <x:c r="F9" t="str">
        <x:v>SP-04</x:v>
      </x:c>
      <x:c r="G9" s="10" t="n">
        <x:v>45346</x:v>
      </x:c>
      <x:c r="H9" s="10" t="n">
        <x:v>46441</x:v>
      </x:c>
      <x:c r="I9" s="8" t="n">
        <x:v>7845</x:v>
      </x:c>
      <x:c r="J9" t="n">
        <x:v>5</x:v>
      </x:c>
      <x:c r="K9" t="str">
        <x:v>Em uso</x:v>
      </x:c>
    </x:row>
    <x:row r="10" ht="21" customHeight="1">
      <x:c r="A10" t="str">
        <x:v>AT-0009</x:v>
      </x:c>
      <x:c r="B10" t="str">
        <x:v>Notebook</x:v>
      </x:c>
      <x:c r="C10" t="str">
        <x:v>HP</x:v>
      </x:c>
      <x:c r="D10" t="str">
        <x:v>EliteBook 840</x:v>
      </x:c>
      <x:c r="E10" t="str">
        <x:v>TI</x:v>
      </x:c>
      <x:c r="F10" t="str">
        <x:v>SP-01</x:v>
      </x:c>
      <x:c r="G10" s="10" t="n">
        <x:v>45908</x:v>
      </x:c>
      <x:c r="H10" s="10" t="n">
        <x:v>47003</x:v>
      </x:c>
      <x:c r="I10" s="8" t="n">
        <x:v>7568</x:v>
      </x:c>
      <x:c r="J10" t="n">
        <x:v>5</x:v>
      </x:c>
      <x:c r="K10" t="str">
        <x:v>Em uso</x:v>
      </x:c>
    </x:row>
    <x:row r="11" ht="21" customHeight="1">
      <x:c r="A11" t="str">
        <x:v>AT-0010</x:v>
      </x:c>
      <x:c r="B11" t="str">
        <x:v>Servidor</x:v>
      </x:c>
      <x:c r="C11" t="str">
        <x:v>Dell</x:v>
      </x:c>
      <x:c r="D11" t="str">
        <x:v>PowerEdge R650</x:v>
      </x:c>
      <x:c r="E11" t="str">
        <x:v>Marketing</x:v>
      </x:c>
      <x:c r="F11" t="str">
        <x:v>SP-02</x:v>
      </x:c>
      <x:c r="G11" s="10" t="n">
        <x:v>46131</x:v>
      </x:c>
      <x:c r="H11" s="10" t="n">
        <x:v>47956</x:v>
      </x:c>
      <x:c r="I11" s="8" t="n">
        <x:v>33021</x:v>
      </x:c>
      <x:c r="J11" t="n">
        <x:v>7</x:v>
      </x:c>
      <x:c r="K11" t="str">
        <x:v>Em uso</x:v>
      </x:c>
    </x:row>
    <x:row r="12" ht="21" customHeight="1">
      <x:c r="A12" t="str">
        <x:v>AT-0011</x:v>
      </x:c>
      <x:c r="B12" t="str">
        <x:v>Servidor</x:v>
      </x:c>
      <x:c r="C12" t="str">
        <x:v>HPE</x:v>
      </x:c>
      <x:c r="D12" t="str">
        <x:v>ProLiant DL380</x:v>
      </x:c>
      <x:c r="E12" t="str">
        <x:v>Logística</x:v>
      </x:c>
      <x:c r="F12" t="str">
        <x:v>SP-03</x:v>
      </x:c>
      <x:c r="G12" s="10" t="n">
        <x:v>43042</x:v>
      </x:c>
      <x:c r="H12" s="10" t="n">
        <x:v>44867</x:v>
      </x:c>
      <x:c r="I12" s="8" t="n">
        <x:v>33022</x:v>
      </x:c>
      <x:c r="J12" t="n">
        <x:v>7</x:v>
      </x:c>
      <x:c r="K12" t="str">
        <x:v>Em uso</x:v>
      </x:c>
    </x:row>
    <x:row r="13" ht="21" customHeight="1">
      <x:c r="A13" t="str">
        <x:v>AT-0012</x:v>
      </x:c>
      <x:c r="B13" t="str">
        <x:v>Notebook</x:v>
      </x:c>
      <x:c r="C13" t="str">
        <x:v>Apple</x:v>
      </x:c>
      <x:c r="D13" t="str">
        <x:v>MacBook Pro</x:v>
      </x:c>
      <x:c r="E13" t="str">
        <x:v>Financeiro</x:v>
      </x:c>
      <x:c r="F13" t="str">
        <x:v>SP-04</x:v>
      </x:c>
      <x:c r="G13" s="10" t="n">
        <x:v>43265</x:v>
      </x:c>
      <x:c r="H13" s="10" t="n">
        <x:v>44360</x:v>
      </x:c>
      <x:c r="I13" s="8" t="n">
        <x:v>7313</x:v>
      </x:c>
      <x:c r="J13" t="n">
        <x:v>5</x:v>
      </x:c>
      <x:c r="K13" t="str">
        <x:v>Reserva</x:v>
      </x:c>
    </x:row>
    <x:row r="14" ht="21" customHeight="1">
      <x:c r="A14" t="str">
        <x:v>AT-0013</x:v>
      </x:c>
      <x:c r="B14" t="str">
        <x:v>Notebook</x:v>
      </x:c>
      <x:c r="C14" t="str">
        <x:v>Dell</x:v>
      </x:c>
      <x:c r="D14" t="str">
        <x:v>Latitude 5440</x:v>
      </x:c>
      <x:c r="E14" t="str">
        <x:v>Operações</x:v>
      </x:c>
      <x:c r="F14" t="str">
        <x:v>SP-01</x:v>
      </x:c>
      <x:c r="G14" s="10" t="n">
        <x:v>43490</x:v>
      </x:c>
      <x:c r="H14" s="10" t="n">
        <x:v>44585</x:v>
      </x:c>
      <x:c r="I14" s="8" t="n">
        <x:v>7433</x:v>
      </x:c>
      <x:c r="J14" t="n">
        <x:v>5</x:v>
      </x:c>
      <x:c r="K14" t="str">
        <x:v>Em uso</x:v>
      </x:c>
    </x:row>
    <x:row r="15" ht="21" customHeight="1">
      <x:c r="A15" t="str">
        <x:v>AT-0014</x:v>
      </x:c>
      <x:c r="B15" t="str">
        <x:v>Notebook</x:v>
      </x:c>
      <x:c r="C15" t="str">
        <x:v>Lenovo</x:v>
      </x:c>
      <x:c r="D15" t="str">
        <x:v>ThinkPad T14</x:v>
      </x:c>
      <x:c r="E15" t="str">
        <x:v>Jurídico</x:v>
      </x:c>
      <x:c r="F15" t="str">
        <x:v>SP-02</x:v>
      </x:c>
      <x:c r="G15" s="10" t="n">
        <x:v>44052</x:v>
      </x:c>
      <x:c r="H15" s="10" t="n">
        <x:v>45147</x:v>
      </x:c>
      <x:c r="I15" s="8" t="n">
        <x:v>5037</x:v>
      </x:c>
      <x:c r="J15" t="n">
        <x:v>5</x:v>
      </x:c>
      <x:c r="K15" t="str">
        <x:v>Em uso</x:v>
      </x:c>
    </x:row>
    <x:row r="16" ht="21" customHeight="1">
      <x:c r="A16" t="str">
        <x:v>AT-0015</x:v>
      </x:c>
      <x:c r="B16" t="str">
        <x:v>Notebook</x:v>
      </x:c>
      <x:c r="C16" t="str">
        <x:v>HP</x:v>
      </x:c>
      <x:c r="D16" t="str">
        <x:v>EliteBook 840</x:v>
      </x:c>
      <x:c r="E16" t="str">
        <x:v>RH</x:v>
      </x:c>
      <x:c r="F16" t="str">
        <x:v>SP-03</x:v>
      </x:c>
      <x:c r="G16" s="10" t="n">
        <x:v>44275</x:v>
      </x:c>
      <x:c r="H16" s="10" t="n">
        <x:v>45370</x:v>
      </x:c>
      <x:c r="I16" s="8" t="n">
        <x:v>5589</x:v>
      </x:c>
      <x:c r="J16" t="n">
        <x:v>5</x:v>
      </x:c>
      <x:c r="K16" t="str">
        <x:v>Em uso</x:v>
      </x:c>
    </x:row>
    <x:row r="17" ht="21" customHeight="1">
      <x:c r="A17" t="str">
        <x:v>AT-0016</x:v>
      </x:c>
      <x:c r="B17" t="str">
        <x:v>Servidor</x:v>
      </x:c>
      <x:c r="C17" t="str">
        <x:v>Dell</x:v>
      </x:c>
      <x:c r="D17" t="str">
        <x:v>PowerEdge R650</x:v>
      </x:c>
      <x:c r="E17" t="str">
        <x:v>Comercial</x:v>
      </x:c>
      <x:c r="F17" t="str">
        <x:v>SP-04</x:v>
      </x:c>
      <x:c r="G17" s="10" t="n">
        <x:v>44838</x:v>
      </x:c>
      <x:c r="H17" s="10" t="n">
        <x:v>46663</x:v>
      </x:c>
      <x:c r="I17" s="8" t="n">
        <x:v>32534</x:v>
      </x:c>
      <x:c r="J17" t="n">
        <x:v>7</x:v>
      </x:c>
      <x:c r="K17" t="str">
        <x:v>Em uso</x:v>
      </x:c>
    </x:row>
    <x:row r="18" ht="21" customHeight="1">
      <x:c r="A18" t="str">
        <x:v>AT-0017</x:v>
      </x:c>
      <x:c r="B18" t="str">
        <x:v>Servidor</x:v>
      </x:c>
      <x:c r="C18" t="str">
        <x:v>HPE</x:v>
      </x:c>
      <x:c r="D18" t="str">
        <x:v>ProLiant DL380</x:v>
      </x:c>
      <x:c r="E18" t="str">
        <x:v>TI</x:v>
      </x:c>
      <x:c r="F18" t="str">
        <x:v>SP-01</x:v>
      </x:c>
      <x:c r="G18" s="10" t="n">
        <x:v>45061</x:v>
      </x:c>
      <x:c r="H18" s="10" t="n">
        <x:v>46886</x:v>
      </x:c>
      <x:c r="I18" s="8" t="n">
        <x:v>38062</x:v>
      </x:c>
      <x:c r="J18" t="n">
        <x:v>7</x:v>
      </x:c>
      <x:c r="K18" t="str">
        <x:v>Em uso</x:v>
      </x:c>
    </x:row>
    <x:row r="19" ht="21" customHeight="1">
      <x:c r="A19" t="str">
        <x:v>AT-0018</x:v>
      </x:c>
      <x:c r="B19" t="str">
        <x:v>Notebook</x:v>
      </x:c>
      <x:c r="C19" t="str">
        <x:v>Apple</x:v>
      </x:c>
      <x:c r="D19" t="str">
        <x:v>MacBook Pro</x:v>
      </x:c>
      <x:c r="E19" t="str">
        <x:v>Marketing</x:v>
      </x:c>
      <x:c r="F19" t="str">
        <x:v>SP-02</x:v>
      </x:c>
      <x:c r="G19" s="10" t="n">
        <x:v>45652</x:v>
      </x:c>
      <x:c r="H19" s="10" t="n">
        <x:v>46747</x:v>
      </x:c>
      <x:c r="I19" s="8" t="n">
        <x:v>6815</x:v>
      </x:c>
      <x:c r="J19" t="n">
        <x:v>5</x:v>
      </x:c>
      <x:c r="K19" t="str">
        <x:v>Em uso</x:v>
      </x:c>
    </x:row>
    <x:row r="20" ht="21" customHeight="1">
      <x:c r="A20" t="str">
        <x:v>AT-0019</x:v>
      </x:c>
      <x:c r="B20" t="str">
        <x:v>Notebook</x:v>
      </x:c>
      <x:c r="C20" t="str">
        <x:v>Dell</x:v>
      </x:c>
      <x:c r="D20" t="str">
        <x:v>Latitude 5440</x:v>
      </x:c>
      <x:c r="E20" t="str">
        <x:v>Logística</x:v>
      </x:c>
      <x:c r="F20" t="str">
        <x:v>SP-03</x:v>
      </x:c>
      <x:c r="G20" s="10" t="n">
        <x:v>45848</x:v>
      </x:c>
      <x:c r="H20" s="10" t="n">
        <x:v>46943</x:v>
      </x:c>
      <x:c r="I20" s="8" t="n">
        <x:v>7244</x:v>
      </x:c>
      <x:c r="J20" t="n">
        <x:v>5</x:v>
      </x:c>
      <x:c r="K20" t="str">
        <x:v>Em uso</x:v>
      </x:c>
    </x:row>
    <x:row r="21" ht="21" customHeight="1">
      <x:c r="A21" t="str">
        <x:v>AT-0020</x:v>
      </x:c>
      <x:c r="B21" t="str">
        <x:v>Notebook</x:v>
      </x:c>
      <x:c r="C21" t="str">
        <x:v>Lenovo</x:v>
      </x:c>
      <x:c r="D21" t="str">
        <x:v>ThinkPad T14</x:v>
      </x:c>
      <x:c r="E21" t="str">
        <x:v>Financeiro</x:v>
      </x:c>
      <x:c r="F21" t="str">
        <x:v>SP-04</x:v>
      </x:c>
      <x:c r="G21" s="10" t="n">
        <x:v>46074</x:v>
      </x:c>
      <x:c r="H21" s="10" t="n">
        <x:v>47169</x:v>
      </x:c>
      <x:c r="I21" s="8" t="n">
        <x:v>5256</x:v>
      </x:c>
      <x:c r="J21" t="n">
        <x:v>5</x:v>
      </x:c>
      <x:c r="K21" t="str">
        <x:v>Em uso</x:v>
      </x:c>
    </x:row>
    <x:row r="22" ht="21" customHeight="1">
      <x:c r="A22" t="str">
        <x:v>AT-0021</x:v>
      </x:c>
      <x:c r="B22" t="str">
        <x:v>Notebook</x:v>
      </x:c>
      <x:c r="C22" t="str">
        <x:v>HP</x:v>
      </x:c>
      <x:c r="D22" t="str">
        <x:v>EliteBook 840</x:v>
      </x:c>
      <x:c r="E22" t="str">
        <x:v>Operações</x:v>
      </x:c>
      <x:c r="F22" t="str">
        <x:v>SP-01</x:v>
      </x:c>
      <x:c r="G22" s="10" t="n">
        <x:v>42983</x:v>
      </x:c>
      <x:c r="H22" s="10" t="n">
        <x:v>44078</x:v>
      </x:c>
      <x:c r="I22" s="8" t="n">
        <x:v>6805</x:v>
      </x:c>
      <x:c r="J22" t="n">
        <x:v>5</x:v>
      </x:c>
      <x:c r="K22" t="str">
        <x:v>Em uso</x:v>
      </x:c>
    </x:row>
    <x:row r="23" ht="21" customHeight="1">
      <x:c r="A23" t="str">
        <x:v>AT-0022</x:v>
      </x:c>
      <x:c r="B23" t="str">
        <x:v>Servidor</x:v>
      </x:c>
      <x:c r="C23" t="str">
        <x:v>Dell</x:v>
      </x:c>
      <x:c r="D23" t="str">
        <x:v>PowerEdge R650</x:v>
      </x:c>
      <x:c r="E23" t="str">
        <x:v>Jurídico</x:v>
      </x:c>
      <x:c r="F23" t="str">
        <x:v>SP-02</x:v>
      </x:c>
      <x:c r="G23" s="10" t="n">
        <x:v>43206</x:v>
      </x:c>
      <x:c r="H23" s="10" t="n">
        <x:v>45031</x:v>
      </x:c>
      <x:c r="I23" s="8" t="n">
        <x:v>32193</x:v>
      </x:c>
      <x:c r="J23" t="n">
        <x:v>7</x:v>
      </x:c>
      <x:c r="K23" t="str">
        <x:v>Em uso</x:v>
      </x:c>
    </x:row>
    <x:row r="24" ht="21" customHeight="1">
      <x:c r="A24" t="str">
        <x:v>AT-0023</x:v>
      </x:c>
      <x:c r="B24" t="str">
        <x:v>Servidor</x:v>
      </x:c>
      <x:c r="C24" t="str">
        <x:v>HPE</x:v>
      </x:c>
      <x:c r="D24" t="str">
        <x:v>ProLiant DL380</x:v>
      </x:c>
      <x:c r="E24" t="str">
        <x:v>RH</x:v>
      </x:c>
      <x:c r="F24" t="str">
        <x:v>SP-03</x:v>
      </x:c>
      <x:c r="G24" s="10" t="n">
        <x:v>43796</x:v>
      </x:c>
      <x:c r="H24" s="10" t="n">
        <x:v>45621</x:v>
      </x:c>
      <x:c r="I24" s="8" t="n">
        <x:v>30839</x:v>
      </x:c>
      <x:c r="J24" t="n">
        <x:v>7</x:v>
      </x:c>
      <x:c r="K24" t="str">
        <x:v>Reserva</x:v>
      </x:c>
    </x:row>
    <x:row r="25" ht="21" customHeight="1">
      <x:c r="A25" t="str">
        <x:v>AT-0024</x:v>
      </x:c>
      <x:c r="B25" t="str">
        <x:v>Notebook</x:v>
      </x:c>
      <x:c r="C25" t="str">
        <x:v>Apple</x:v>
      </x:c>
      <x:c r="D25" t="str">
        <x:v>MacBook Pro</x:v>
      </x:c>
      <x:c r="E25" t="str">
        <x:v>Comercial</x:v>
      </x:c>
      <x:c r="F25" t="str">
        <x:v>SP-04</x:v>
      </x:c>
      <x:c r="G25" s="10" t="n">
        <x:v>43993</x:v>
      </x:c>
      <x:c r="H25" s="10" t="n">
        <x:v>45088</x:v>
      </x:c>
      <x:c r="I25" s="8" t="n">
        <x:v>5720</x:v>
      </x:c>
      <x:c r="J25" t="n">
        <x:v>5</x:v>
      </x:c>
      <x:c r="K25" t="str">
        <x:v>Em uso</x:v>
      </x:c>
    </x:row>
    <x:row r="26" ht="21" customHeight="1">
      <x:c r="A26" t="str">
        <x:v>AT-0025</x:v>
      </x:c>
      <x:c r="B26" t="str">
        <x:v>Notebook</x:v>
      </x:c>
      <x:c r="C26" t="str">
        <x:v>Dell</x:v>
      </x:c>
      <x:c r="D26" t="str">
        <x:v>Latitude 5440</x:v>
      </x:c>
      <x:c r="E26" t="str">
        <x:v>TI</x:v>
      </x:c>
      <x:c r="F26" t="str">
        <x:v>SP-01</x:v>
      </x:c>
      <x:c r="G26" s="10" t="n">
        <x:v>44218</x:v>
      </x:c>
      <x:c r="H26" s="10" t="n">
        <x:v>45313</x:v>
      </x:c>
      <x:c r="I26" s="8" t="n">
        <x:v>5037</x:v>
      </x:c>
      <x:c r="J26" t="n">
        <x:v>5</x:v>
      </x:c>
      <x:c r="K26" t="str">
        <x:v>Em uso</x:v>
      </x:c>
    </x:row>
    <x:row r="27" ht="21" customHeight="1">
      <x:c r="A27" t="str">
        <x:v>AT-0026</x:v>
      </x:c>
      <x:c r="B27" t="str">
        <x:v>Notebook</x:v>
      </x:c>
      <x:c r="C27" t="str">
        <x:v>Lenovo</x:v>
      </x:c>
      <x:c r="D27" t="str">
        <x:v>ThinkPad T14</x:v>
      </x:c>
      <x:c r="E27" t="str">
        <x:v>Marketing</x:v>
      </x:c>
      <x:c r="F27" t="str">
        <x:v>SP-02</x:v>
      </x:c>
      <x:c r="G27" s="10" t="n">
        <x:v>44779</x:v>
      </x:c>
      <x:c r="H27" s="10" t="n">
        <x:v>45874</x:v>
      </x:c>
      <x:c r="I27" s="8" t="n">
        <x:v>7846</x:v>
      </x:c>
      <x:c r="J27" t="n">
        <x:v>5</x:v>
      </x:c>
      <x:c r="K27" t="str">
        <x:v>Em uso</x:v>
      </x:c>
    </x:row>
    <x:row r="28" ht="21" customHeight="1">
      <x:c r="A28" t="str">
        <x:v>AT-0027</x:v>
      </x:c>
      <x:c r="B28" t="str">
        <x:v>Notebook</x:v>
      </x:c>
      <x:c r="C28" t="str">
        <x:v>HP</x:v>
      </x:c>
      <x:c r="D28" t="str">
        <x:v>EliteBook 840</x:v>
      </x:c>
      <x:c r="E28" t="str">
        <x:v>Logística</x:v>
      </x:c>
      <x:c r="F28" t="str">
        <x:v>SP-03</x:v>
      </x:c>
      <x:c r="G28" s="10" t="n">
        <x:v>45002</x:v>
      </x:c>
      <x:c r="H28" s="10" t="n">
        <x:v>46097</x:v>
      </x:c>
      <x:c r="I28" s="8" t="n">
        <x:v>4809</x:v>
      </x:c>
      <x:c r="J28" t="n">
        <x:v>5</x:v>
      </x:c>
      <x:c r="K28" t="str">
        <x:v>Em uso</x:v>
      </x:c>
    </x:row>
    <x:row r="29" ht="21" customHeight="1">
      <x:c r="A29" t="str">
        <x:v>AT-0028</x:v>
      </x:c>
      <x:c r="B29" t="str">
        <x:v>Servidor</x:v>
      </x:c>
      <x:c r="C29" t="str">
        <x:v>Dell</x:v>
      </x:c>
      <x:c r="D29" t="str">
        <x:v>PowerEdge R650</x:v>
      </x:c>
      <x:c r="E29" t="str">
        <x:v>Financeiro</x:v>
      </x:c>
      <x:c r="F29" t="str">
        <x:v>SP-04</x:v>
      </x:c>
      <x:c r="G29" s="10" t="n">
        <x:v>45566</x:v>
      </x:c>
      <x:c r="H29" s="10" t="n">
        <x:v>47391</x:v>
      </x:c>
      <x:c r="I29" s="8" t="n">
        <x:v>36013</x:v>
      </x:c>
      <x:c r="J29" t="n">
        <x:v>7</x:v>
      </x:c>
      <x:c r="K29" t="str">
        <x:v>Em uso</x:v>
      </x:c>
    </x:row>
    <x:row r="30" ht="21" customHeight="1">
      <x:c r="A30" t="str">
        <x:v>AT-0029</x:v>
      </x:c>
      <x:c r="B30" t="str">
        <x:v>Servidor</x:v>
      </x:c>
      <x:c r="C30" t="str">
        <x:v>HPE</x:v>
      </x:c>
      <x:c r="D30" t="str">
        <x:v>ProLiant DL380</x:v>
      </x:c>
      <x:c r="E30" t="str">
        <x:v>Operações</x:v>
      </x:c>
      <x:c r="F30" t="str">
        <x:v>SP-01</x:v>
      </x:c>
      <x:c r="G30" s="10" t="n">
        <x:v>45789</x:v>
      </x:c>
      <x:c r="H30" s="10" t="n">
        <x:v>47614</x:v>
      </x:c>
      <x:c r="I30" s="8" t="n">
        <x:v>39613</x:v>
      </x:c>
      <x:c r="J30" t="n">
        <x:v>7</x:v>
      </x:c>
      <x:c r="K30" t="str">
        <x:v>Em uso</x:v>
      </x:c>
    </x:row>
    <x:row r="31" ht="21" customHeight="1">
      <x:c r="A31" t="str">
        <x:v>AT-0030</x:v>
      </x:c>
      <x:c r="B31" t="str">
        <x:v>Notebook</x:v>
      </x:c>
      <x:c r="C31" t="str">
        <x:v>Apple</x:v>
      </x:c>
      <x:c r="D31" t="str">
        <x:v>MacBook Pro</x:v>
      </x:c>
      <x:c r="E31" t="str">
        <x:v>Jurídico</x:v>
      </x:c>
      <x:c r="F31" t="str">
        <x:v>SP-02</x:v>
      </x:c>
      <x:c r="G31" s="10" t="n">
        <x:v>46379</x:v>
      </x:c>
      <x:c r="H31" s="10" t="n">
        <x:v>47474</x:v>
      </x:c>
      <x:c r="I31" s="8" t="n">
        <x:v>5547</x:v>
      </x:c>
      <x:c r="J31" t="n">
        <x:v>5</x:v>
      </x:c>
      <x:c r="K31" t="str">
        <x:v>Em uso</x:v>
      </x:c>
    </x:row>
    <x:row r="32" ht="21" customHeight="1">
      <x:c r="A32" t="str">
        <x:v>AT-0031</x:v>
      </x:c>
      <x:c r="B32" t="str">
        <x:v>Notebook</x:v>
      </x:c>
      <x:c r="C32" t="str">
        <x:v>Dell</x:v>
      </x:c>
      <x:c r="D32" t="str">
        <x:v>Latitude 5440</x:v>
      </x:c>
      <x:c r="E32" t="str">
        <x:v>RH</x:v>
      </x:c>
      <x:c r="F32" t="str">
        <x:v>SP-03</x:v>
      </x:c>
      <x:c r="G32" s="10" t="n">
        <x:v>42923</x:v>
      </x:c>
      <x:c r="H32" s="10" t="n">
        <x:v>44018</x:v>
      </x:c>
      <x:c r="I32" s="8" t="n">
        <x:v>5174</x:v>
      </x:c>
      <x:c r="J32" t="n">
        <x:v>5</x:v>
      </x:c>
      <x:c r="K32" t="str">
        <x:v>Em uso</x:v>
      </x:c>
    </x:row>
    <x:row r="33" ht="21" customHeight="1">
      <x:c r="A33" t="str">
        <x:v>AT-0032</x:v>
      </x:c>
      <x:c r="B33" t="str">
        <x:v>Notebook</x:v>
      </x:c>
      <x:c r="C33" t="str">
        <x:v>Lenovo</x:v>
      </x:c>
      <x:c r="D33" t="str">
        <x:v>ThinkPad T14</x:v>
      </x:c>
      <x:c r="E33" t="str">
        <x:v>Comercial</x:v>
      </x:c>
      <x:c r="F33" t="str">
        <x:v>SP-04</x:v>
      </x:c>
      <x:c r="G33" s="10" t="n">
        <x:v>43149</x:v>
      </x:c>
      <x:c r="H33" s="10" t="n">
        <x:v>44244</x:v>
      </x:c>
      <x:c r="I33" s="8" t="n">
        <x:v>5867</x:v>
      </x:c>
      <x:c r="J33" t="n">
        <x:v>5</x:v>
      </x:c>
      <x:c r="K33" t="str">
        <x:v>Em uso</x:v>
      </x:c>
    </x:row>
    <x:row r="34" ht="21" customHeight="1">
      <x:c r="A34" t="str">
        <x:v>AT-0033</x:v>
      </x:c>
      <x:c r="B34" t="str">
        <x:v>Notebook</x:v>
      </x:c>
      <x:c r="C34" t="str">
        <x:v>HP</x:v>
      </x:c>
      <x:c r="D34" t="str">
        <x:v>EliteBook 840</x:v>
      </x:c>
      <x:c r="E34" t="str">
        <x:v>TI</x:v>
      </x:c>
      <x:c r="F34" t="str">
        <x:v>SP-01</x:v>
      </x:c>
      <x:c r="G34" s="10" t="n">
        <x:v>43710</x:v>
      </x:c>
      <x:c r="H34" s="10" t="n">
        <x:v>44805</x:v>
      </x:c>
      <x:c r="I34" s="8" t="n">
        <x:v>6666</x:v>
      </x:c>
      <x:c r="J34" t="n">
        <x:v>5</x:v>
      </x:c>
      <x:c r="K34" t="str">
        <x:v>Em uso</x:v>
      </x:c>
    </x:row>
    <x:row r="35" ht="21" customHeight="1">
      <x:c r="A35" t="str">
        <x:v>AT-0034</x:v>
      </x:c>
      <x:c r="B35" t="str">
        <x:v>Servidor</x:v>
      </x:c>
      <x:c r="C35" t="str">
        <x:v>Dell</x:v>
      </x:c>
      <x:c r="D35" t="str">
        <x:v>PowerEdge R650</x:v>
      </x:c>
      <x:c r="E35" t="str">
        <x:v>Marketing</x:v>
      </x:c>
      <x:c r="F35" t="str">
        <x:v>SP-02</x:v>
      </x:c>
      <x:c r="G35" s="10" t="n">
        <x:v>43934</x:v>
      </x:c>
      <x:c r="H35" s="10" t="n">
        <x:v>45759</x:v>
      </x:c>
      <x:c r="I35" s="8" t="n">
        <x:v>29560</x:v>
      </x:c>
      <x:c r="J35" t="n">
        <x:v>7</x:v>
      </x:c>
      <x:c r="K35" t="str">
        <x:v>Reserva</x:v>
      </x:c>
    </x:row>
    <x:row r="36" ht="21" customHeight="1">
      <x:c r="A36" t="str">
        <x:v>AT-0035</x:v>
      </x:c>
      <x:c r="B36" t="str">
        <x:v>Servidor</x:v>
      </x:c>
      <x:c r="C36" t="str">
        <x:v>HPE</x:v>
      </x:c>
      <x:c r="D36" t="str">
        <x:v>ProLiant DL380</x:v>
      </x:c>
      <x:c r="E36" t="str">
        <x:v>Logística</x:v>
      </x:c>
      <x:c r="F36" t="str">
        <x:v>SP-03</x:v>
      </x:c>
      <x:c r="G36" s="10" t="n">
        <x:v>44524</x:v>
      </x:c>
      <x:c r="H36" s="10" t="n">
        <x:v>46349</x:v>
      </x:c>
      <x:c r="I36" s="8" t="n">
        <x:v>36835</x:v>
      </x:c>
      <x:c r="J36" t="n">
        <x:v>7</x:v>
      </x:c>
      <x:c r="K36" t="str">
        <x:v>Em uso</x:v>
      </x:c>
    </x:row>
    <x:row r="37" ht="21" customHeight="1">
      <x:c r="A37" t="str">
        <x:v>AT-0036</x:v>
      </x:c>
      <x:c r="B37" t="str">
        <x:v>Notebook</x:v>
      </x:c>
      <x:c r="C37" t="str">
        <x:v>Apple</x:v>
      </x:c>
      <x:c r="D37" t="str">
        <x:v>MacBook Pro</x:v>
      </x:c>
      <x:c r="E37" t="str">
        <x:v>Financeiro</x:v>
      </x:c>
      <x:c r="F37" t="str">
        <x:v>SP-04</x:v>
      </x:c>
      <x:c r="G37" s="10" t="n">
        <x:v>44720</x:v>
      </x:c>
      <x:c r="H37" s="10" t="n">
        <x:v>45815</x:v>
      </x:c>
      <x:c r="I37" s="8" t="n">
        <x:v>6457</x:v>
      </x:c>
      <x:c r="J37" t="n">
        <x:v>5</x:v>
      </x:c>
      <x:c r="K37" t="str">
        <x:v>Em uso</x:v>
      </x:c>
    </x:row>
    <x:row r="38" ht="21" customHeight="1">
      <x:c r="A38" t="str">
        <x:v>AT-0037</x:v>
      </x:c>
      <x:c r="B38" t="str">
        <x:v>Notebook</x:v>
      </x:c>
      <x:c r="C38" t="str">
        <x:v>Dell</x:v>
      </x:c>
      <x:c r="D38" t="str">
        <x:v>Latitude 5440</x:v>
      </x:c>
      <x:c r="E38" t="str">
        <x:v>Operações</x:v>
      </x:c>
      <x:c r="F38" t="str">
        <x:v>SP-01</x:v>
      </x:c>
      <x:c r="G38" s="10" t="n">
        <x:v>44945</x:v>
      </x:c>
      <x:c r="H38" s="10" t="n">
        <x:v>46040</x:v>
      </x:c>
      <x:c r="I38" s="8" t="n">
        <x:v>5567</x:v>
      </x:c>
      <x:c r="J38" t="n">
        <x:v>5</x:v>
      </x:c>
      <x:c r="K38" t="str">
        <x:v>Em uso</x:v>
      </x:c>
    </x:row>
    <x:row r="39" ht="21" customHeight="1">
      <x:c r="A39" t="str">
        <x:v>AT-0038</x:v>
      </x:c>
      <x:c r="B39" t="str">
        <x:v>Notebook</x:v>
      </x:c>
      <x:c r="C39" t="str">
        <x:v>Lenovo</x:v>
      </x:c>
      <x:c r="D39" t="str">
        <x:v>ThinkPad T14</x:v>
      </x:c>
      <x:c r="E39" t="str">
        <x:v>Jurídico</x:v>
      </x:c>
      <x:c r="F39" t="str">
        <x:v>SP-02</x:v>
      </x:c>
      <x:c r="G39" s="10" t="n">
        <x:v>45507</x:v>
      </x:c>
      <x:c r="H39" s="10" t="n">
        <x:v>46602</x:v>
      </x:c>
      <x:c r="I39" s="8" t="n">
        <x:v>6183</x:v>
      </x:c>
      <x:c r="J39" t="n">
        <x:v>5</x:v>
      </x:c>
      <x:c r="K39" t="str">
        <x:v>Em uso</x:v>
      </x:c>
    </x:row>
    <x:row r="40" ht="21" customHeight="1">
      <x:c r="A40" t="str">
        <x:v>AT-0039</x:v>
      </x:c>
      <x:c r="B40" t="str">
        <x:v>Notebook</x:v>
      </x:c>
      <x:c r="C40" t="str">
        <x:v>HP</x:v>
      </x:c>
      <x:c r="D40" t="str">
        <x:v>EliteBook 840</x:v>
      </x:c>
      <x:c r="E40" t="str">
        <x:v>RH</x:v>
      </x:c>
      <x:c r="F40" t="str">
        <x:v>SP-03</x:v>
      </x:c>
      <x:c r="G40" s="10" t="n">
        <x:v>45730</x:v>
      </x:c>
      <x:c r="H40" s="10" t="n">
        <x:v>46825</x:v>
      </x:c>
      <x:c r="I40" s="8" t="n">
        <x:v>6145</x:v>
      </x:c>
      <x:c r="J40" t="n">
        <x:v>5</x:v>
      </x:c>
      <x:c r="K40" t="str">
        <x:v>Em uso</x:v>
      </x:c>
    </x:row>
    <x:row r="41" ht="21" customHeight="1">
      <x:c r="A41" t="str">
        <x:v>AT-0040</x:v>
      </x:c>
      <x:c r="B41" t="str">
        <x:v>Servidor</x:v>
      </x:c>
      <x:c r="C41" t="str">
        <x:v>Dell</x:v>
      </x:c>
      <x:c r="D41" t="str">
        <x:v>PowerEdge R650</x:v>
      </x:c>
      <x:c r="E41" t="str">
        <x:v>Comercial</x:v>
      </x:c>
      <x:c r="F41" t="str">
        <x:v>SP-04</x:v>
      </x:c>
      <x:c r="G41" s="10" t="n">
        <x:v>46320</x:v>
      </x:c>
      <x:c r="H41" s="10" t="n">
        <x:v>48145</x:v>
      </x:c>
      <x:c r="I41" s="8" t="n">
        <x:v>43170</x:v>
      </x:c>
      <x:c r="J41" t="n">
        <x:v>7</x:v>
      </x:c>
      <x:c r="K41" t="str">
        <x:v>Em uso</x:v>
      </x:c>
    </x:row>
    <x:row r="42" ht="21" customHeight="1">
      <x:c r="A42" t="str">
        <x:v>AT-0041</x:v>
      </x:c>
      <x:c r="B42" t="str">
        <x:v>Servidor</x:v>
      </x:c>
      <x:c r="C42" t="str">
        <x:v>HPE</x:v>
      </x:c>
      <x:c r="D42" t="str">
        <x:v>ProLiant DL380</x:v>
      </x:c>
      <x:c r="E42" t="str">
        <x:v>TI</x:v>
      </x:c>
      <x:c r="F42" t="str">
        <x:v>SP-01</x:v>
      </x:c>
      <x:c r="G42" s="10" t="n">
        <x:v>42864</x:v>
      </x:c>
      <x:c r="H42" s="10" t="n">
        <x:v>44689</x:v>
      </x:c>
      <x:c r="I42" s="8" t="n">
        <x:v>43147</x:v>
      </x:c>
      <x:c r="J42" t="n">
        <x:v>7</x:v>
      </x:c>
      <x:c r="K42" t="str">
        <x:v>Em uso</x:v>
      </x:c>
    </x:row>
    <x:row r="43" ht="21" customHeight="1">
      <x:c r="A43" t="str">
        <x:v>AT-0042</x:v>
      </x:c>
      <x:c r="B43" t="str">
        <x:v>Notebook</x:v>
      </x:c>
      <x:c r="C43" t="str">
        <x:v>Apple</x:v>
      </x:c>
      <x:c r="D43" t="str">
        <x:v>MacBook Pro</x:v>
      </x:c>
      <x:c r="E43" t="str">
        <x:v>Marketing</x:v>
      </x:c>
      <x:c r="F43" t="str">
        <x:v>SP-02</x:v>
      </x:c>
      <x:c r="G43" s="10" t="n">
        <x:v>43454</x:v>
      </x:c>
      <x:c r="H43" s="10" t="n">
        <x:v>44549</x:v>
      </x:c>
      <x:c r="I43" s="8" t="n">
        <x:v>7227</x:v>
      </x:c>
      <x:c r="J43" t="n">
        <x:v>5</x:v>
      </x:c>
      <x:c r="K43" t="str">
        <x:v>Em uso</x:v>
      </x:c>
    </x:row>
    <x:row r="44" ht="21" customHeight="1">
      <x:c r="A44" t="str">
        <x:v>AT-0043</x:v>
      </x:c>
      <x:c r="B44" t="str">
        <x:v>Notebook</x:v>
      </x:c>
      <x:c r="C44" t="str">
        <x:v>Dell</x:v>
      </x:c>
      <x:c r="D44" t="str">
        <x:v>Latitude 5440</x:v>
      </x:c>
      <x:c r="E44" t="str">
        <x:v>Logística</x:v>
      </x:c>
      <x:c r="F44" t="str">
        <x:v>SP-03</x:v>
      </x:c>
      <x:c r="G44" s="10" t="n">
        <x:v>43650</x:v>
      </x:c>
      <x:c r="H44" s="10" t="n">
        <x:v>44745</x:v>
      </x:c>
      <x:c r="I44" s="8" t="n">
        <x:v>7490</x:v>
      </x:c>
      <x:c r="J44" t="n">
        <x:v>5</x:v>
      </x:c>
      <x:c r="K44" t="str">
        <x:v>Em uso</x:v>
      </x:c>
    </x:row>
    <x:row r="45" ht="21" customHeight="1">
      <x:c r="A45" t="str">
        <x:v>AT-0044</x:v>
      </x:c>
      <x:c r="B45" t="str">
        <x:v>Notebook</x:v>
      </x:c>
      <x:c r="C45" t="str">
        <x:v>Lenovo</x:v>
      </x:c>
      <x:c r="D45" t="str">
        <x:v>ThinkPad T14</x:v>
      </x:c>
      <x:c r="E45" t="str">
        <x:v>Financeiro</x:v>
      </x:c>
      <x:c r="F45" t="str">
        <x:v>SP-04</x:v>
      </x:c>
      <x:c r="G45" s="10" t="n">
        <x:v>43876</x:v>
      </x:c>
      <x:c r="H45" s="10" t="n">
        <x:v>44971</x:v>
      </x:c>
      <x:c r="I45" s="8" t="n">
        <x:v>6742</x:v>
      </x:c>
      <x:c r="J45" t="n">
        <x:v>5</x:v>
      </x:c>
      <x:c r="K45" t="str">
        <x:v>Em uso</x:v>
      </x:c>
    </x:row>
    <x:row r="46" ht="21" customHeight="1">
      <x:c r="A46" t="str">
        <x:v>AT-0045</x:v>
      </x:c>
      <x:c r="B46" t="str">
        <x:v>Notebook</x:v>
      </x:c>
      <x:c r="C46" t="str">
        <x:v>HP</x:v>
      </x:c>
      <x:c r="D46" t="str">
        <x:v>EliteBook 840</x:v>
      </x:c>
      <x:c r="E46" t="str">
        <x:v>Operações</x:v>
      </x:c>
      <x:c r="F46" t="str">
        <x:v>SP-01</x:v>
      </x:c>
      <x:c r="G46" s="10" t="n">
        <x:v>44465</x:v>
      </x:c>
      <x:c r="H46" s="10" t="n">
        <x:v>45560</x:v>
      </x:c>
      <x:c r="I46" s="8" t="n">
        <x:v>6218</x:v>
      </x:c>
      <x:c r="J46" t="n">
        <x:v>5</x:v>
      </x:c>
      <x:c r="K46" t="str">
        <x:v>Reserva</x:v>
      </x:c>
    </x:row>
    <x:row r="47" ht="21" customHeight="1">
      <x:c r="A47" t="str">
        <x:v>AT-0046</x:v>
      </x:c>
      <x:c r="B47" t="str">
        <x:v>Servidor</x:v>
      </x:c>
      <x:c r="C47" t="str">
        <x:v>Dell</x:v>
      </x:c>
      <x:c r="D47" t="str">
        <x:v>PowerEdge R650</x:v>
      </x:c>
      <x:c r="E47" t="str">
        <x:v>Jurídico</x:v>
      </x:c>
      <x:c r="F47" t="str">
        <x:v>SP-02</x:v>
      </x:c>
      <x:c r="G47" s="10" t="n">
        <x:v>44661</x:v>
      </x:c>
      <x:c r="H47" s="10" t="n">
        <x:v>46486</x:v>
      </x:c>
      <x:c r="I47" s="8" t="n">
        <x:v>30996</x:v>
      </x:c>
      <x:c r="J47" t="n">
        <x:v>7</x:v>
      </x:c>
      <x:c r="K47" t="str">
        <x:v>Em uso</x:v>
      </x:c>
    </x:row>
    <x:row r="48" ht="21" customHeight="1">
      <x:c r="A48" t="str">
        <x:v>AT-0047</x:v>
      </x:c>
      <x:c r="B48" t="str">
        <x:v>Servidor</x:v>
      </x:c>
      <x:c r="C48" t="str">
        <x:v>HPE</x:v>
      </x:c>
      <x:c r="D48" t="str">
        <x:v>ProLiant DL380</x:v>
      </x:c>
      <x:c r="E48" t="str">
        <x:v>RH</x:v>
      </x:c>
      <x:c r="F48" t="str">
        <x:v>SP-03</x:v>
      </x:c>
      <x:c r="G48" s="10" t="n">
        <x:v>45251</x:v>
      </x:c>
      <x:c r="H48" s="10" t="n">
        <x:v>47076</x:v>
      </x:c>
      <x:c r="I48" s="8" t="n">
        <x:v>38879</x:v>
      </x:c>
      <x:c r="J48" t="n">
        <x:v>7</x:v>
      </x:c>
      <x:c r="K48" t="str">
        <x:v>Em uso</x:v>
      </x:c>
    </x:row>
    <x:row r="49" ht="21" customHeight="1">
      <x:c r="A49" t="str">
        <x:v>AT-0048</x:v>
      </x:c>
      <x:c r="B49" t="str">
        <x:v>Notebook</x:v>
      </x:c>
      <x:c r="C49" t="str">
        <x:v>Apple</x:v>
      </x:c>
      <x:c r="D49" t="str">
        <x:v>MacBook Pro</x:v>
      </x:c>
      <x:c r="E49" t="str">
        <x:v>Comercial</x:v>
      </x:c>
      <x:c r="F49" t="str">
        <x:v>SP-04</x:v>
      </x:c>
      <x:c r="G49" s="10" t="n">
        <x:v>45448</x:v>
      </x:c>
      <x:c r="H49" s="10" t="n">
        <x:v>46543</x:v>
      </x:c>
      <x:c r="I49" s="8" t="n">
        <x:v>4844</x:v>
      </x:c>
      <x:c r="J49" t="n">
        <x:v>5</x:v>
      </x:c>
      <x:c r="K49" t="str">
        <x:v>Em uso</x:v>
      </x:c>
    </x:row>
    <x:row r="50" ht="21" customHeight="1">
      <x:c r="A50" t="str">
        <x:v>AT-0049</x:v>
      </x:c>
      <x:c r="B50" t="str">
        <x:v>Notebook</x:v>
      </x:c>
      <x:c r="C50" t="str">
        <x:v>Dell</x:v>
      </x:c>
      <x:c r="D50" t="str">
        <x:v>Latitude 5440</x:v>
      </x:c>
      <x:c r="E50" t="str">
        <x:v>TI</x:v>
      </x:c>
      <x:c r="F50" t="str">
        <x:v>SP-01</x:v>
      </x:c>
      <x:c r="G50" s="10" t="n">
        <x:v>45673</x:v>
      </x:c>
      <x:c r="H50" s="10" t="n">
        <x:v>46768</x:v>
      </x:c>
      <x:c r="I50" s="8" t="n">
        <x:v>6362</x:v>
      </x:c>
      <x:c r="J50" t="n">
        <x:v>5</x:v>
      </x:c>
      <x:c r="K50" t="str">
        <x:v>Em uso</x:v>
      </x:c>
    </x:row>
    <x:row r="51" ht="21" customHeight="1">
      <x:c r="A51" t="str">
        <x:v>AT-0050</x:v>
      </x:c>
      <x:c r="B51" t="str">
        <x:v>Notebook</x:v>
      </x:c>
      <x:c r="C51" t="str">
        <x:v>Lenovo</x:v>
      </x:c>
      <x:c r="D51" t="str">
        <x:v>ThinkPad T14</x:v>
      </x:c>
      <x:c r="E51" t="str">
        <x:v>Marketing</x:v>
      </x:c>
      <x:c r="F51" t="str">
        <x:v>SP-02</x:v>
      </x:c>
      <x:c r="G51" s="10" t="n">
        <x:v>46261</x:v>
      </x:c>
      <x:c r="H51" s="10" t="n">
        <x:v>47356</x:v>
      </x:c>
      <x:c r="I51" s="8" t="n">
        <x:v>7799</x:v>
      </x:c>
      <x:c r="J51" t="n">
        <x:v>5</x:v>
      </x:c>
      <x:c r="K51" t="str">
        <x:v>Em uso</x:v>
      </x:c>
    </x:row>
    <x:row r="52" ht="21" customHeight="1">
      <x:c r="A52" t="str">
        <x:v>AT-0051</x:v>
      </x:c>
      <x:c r="B52" t="str">
        <x:v>Notebook</x:v>
      </x:c>
      <x:c r="C52" t="str">
        <x:v>HP</x:v>
      </x:c>
      <x:c r="D52" t="str">
        <x:v>EliteBook 840</x:v>
      </x:c>
      <x:c r="E52" t="str">
        <x:v>Logística</x:v>
      </x:c>
      <x:c r="F52" t="str">
        <x:v>SP-03</x:v>
      </x:c>
      <x:c r="G52" s="10" t="n">
        <x:v>42805</x:v>
      </x:c>
      <x:c r="H52" s="10" t="n">
        <x:v>43900</x:v>
      </x:c>
      <x:c r="I52" s="8" t="n">
        <x:v>5707</x:v>
      </x:c>
      <x:c r="J52" t="n">
        <x:v>5</x:v>
      </x:c>
      <x:c r="K52" t="str">
        <x:v>Em uso</x:v>
      </x:c>
    </x:row>
    <x:row r="53" ht="21" customHeight="1">
      <x:c r="A53" t="str">
        <x:v>AT-0052</x:v>
      </x:c>
      <x:c r="B53" t="str">
        <x:v>Servidor</x:v>
      </x:c>
      <x:c r="C53" t="str">
        <x:v>Dell</x:v>
      </x:c>
      <x:c r="D53" t="str">
        <x:v>PowerEdge R650</x:v>
      </x:c>
      <x:c r="E53" t="str">
        <x:v>Financeiro</x:v>
      </x:c>
      <x:c r="F53" t="str">
        <x:v>SP-04</x:v>
      </x:c>
      <x:c r="G53" s="10" t="n">
        <x:v>43395</x:v>
      </x:c>
      <x:c r="H53" s="10" t="n">
        <x:v>45220</x:v>
      </x:c>
      <x:c r="I53" s="8" t="n">
        <x:v>39482</x:v>
      </x:c>
      <x:c r="J53" t="n">
        <x:v>7</x:v>
      </x:c>
      <x:c r="K53" t="str">
        <x:v>Em uso</x:v>
      </x:c>
    </x:row>
    <x:row r="54" ht="21" customHeight="1">
      <x:c r="A54" t="str">
        <x:v>AT-0053</x:v>
      </x:c>
      <x:c r="B54" t="str">
        <x:v>Servidor</x:v>
      </x:c>
      <x:c r="C54" t="str">
        <x:v>HPE</x:v>
      </x:c>
      <x:c r="D54" t="str">
        <x:v>ProLiant DL380</x:v>
      </x:c>
      <x:c r="E54" t="str">
        <x:v>Operações</x:v>
      </x:c>
      <x:c r="F54" t="str">
        <x:v>SP-01</x:v>
      </x:c>
      <x:c r="G54" s="10" t="n">
        <x:v>43591</x:v>
      </x:c>
      <x:c r="H54" s="10" t="n">
        <x:v>45416</x:v>
      </x:c>
      <x:c r="I54" s="8" t="n">
        <x:v>31591</x:v>
      </x:c>
      <x:c r="J54" t="n">
        <x:v>7</x:v>
      </x:c>
      <x:c r="K54" t="str">
        <x:v>Em uso</x:v>
      </x:c>
    </x:row>
    <x:row r="55" ht="21" customHeight="1">
      <x:c r="A55" t="str">
        <x:v>AT-0054</x:v>
      </x:c>
      <x:c r="B55" t="str">
        <x:v>Notebook</x:v>
      </x:c>
      <x:c r="C55" t="str">
        <x:v>Apple</x:v>
      </x:c>
      <x:c r="D55" t="str">
        <x:v>MacBook Pro</x:v>
      </x:c>
      <x:c r="E55" t="str">
        <x:v>Jurídico</x:v>
      </x:c>
      <x:c r="F55" t="str">
        <x:v>SP-02</x:v>
      </x:c>
      <x:c r="G55" s="10" t="n">
        <x:v>44182</x:v>
      </x:c>
      <x:c r="H55" s="10" t="n">
        <x:v>45277</x:v>
      </x:c>
      <x:c r="I55" s="8" t="n">
        <x:v>7569</x:v>
      </x:c>
      <x:c r="J55" t="n">
        <x:v>5</x:v>
      </x:c>
      <x:c r="K55" t="str">
        <x:v>Em uso</x:v>
      </x:c>
    </x:row>
    <x:row r="56" ht="21" customHeight="1">
      <x:c r="A56" t="str">
        <x:v>AT-0055</x:v>
      </x:c>
      <x:c r="B56" t="str">
        <x:v>Notebook</x:v>
      </x:c>
      <x:c r="C56" t="str">
        <x:v>Dell</x:v>
      </x:c>
      <x:c r="D56" t="str">
        <x:v>Latitude 5440</x:v>
      </x:c>
      <x:c r="E56" t="str">
        <x:v>RH</x:v>
      </x:c>
      <x:c r="F56" t="str">
        <x:v>SP-03</x:v>
      </x:c>
      <x:c r="G56" s="10" t="n">
        <x:v>44378</x:v>
      </x:c>
      <x:c r="H56" s="10" t="n">
        <x:v>45473</x:v>
      </x:c>
      <x:c r="I56" s="8" t="n">
        <x:v>6287</x:v>
      </x:c>
      <x:c r="J56" t="n">
        <x:v>5</x:v>
      </x:c>
      <x:c r="K56" t="str">
        <x:v>Em uso</x:v>
      </x:c>
    </x:row>
    <x:row r="57" ht="21" customHeight="1">
      <x:c r="A57" t="str">
        <x:v>AT-0056</x:v>
      </x:c>
      <x:c r="B57" t="str">
        <x:v>Notebook</x:v>
      </x:c>
      <x:c r="C57" t="str">
        <x:v>Lenovo</x:v>
      </x:c>
      <x:c r="D57" t="str">
        <x:v>ThinkPad T14</x:v>
      </x:c>
      <x:c r="E57" t="str">
        <x:v>Comercial</x:v>
      </x:c>
      <x:c r="F57" t="str">
        <x:v>SP-04</x:v>
      </x:c>
      <x:c r="G57" s="10" t="n">
        <x:v>44604</x:v>
      </x:c>
      <x:c r="H57" s="10" t="n">
        <x:v>45699</x:v>
      </x:c>
      <x:c r="I57" s="8" t="n">
        <x:v>7450</x:v>
      </x:c>
      <x:c r="J57" t="n">
        <x:v>5</x:v>
      </x:c>
      <x:c r="K57" t="str">
        <x:v>Reserva</x:v>
      </x:c>
    </x:row>
    <x:row r="58" ht="21" customHeight="1">
      <x:c r="A58" t="str">
        <x:v>AT-0057</x:v>
      </x:c>
      <x:c r="B58" t="str">
        <x:v>Notebook</x:v>
      </x:c>
      <x:c r="C58" t="str">
        <x:v>HP</x:v>
      </x:c>
      <x:c r="D58" t="str">
        <x:v>EliteBook 840</x:v>
      </x:c>
      <x:c r="E58" t="str">
        <x:v>TI</x:v>
      </x:c>
      <x:c r="F58" t="str">
        <x:v>SP-01</x:v>
      </x:c>
      <x:c r="G58" s="10" t="n">
        <x:v>45192</x:v>
      </x:c>
      <x:c r="H58" s="10" t="n">
        <x:v>46287</x:v>
      </x:c>
      <x:c r="I58" s="8" t="n">
        <x:v>7476</x:v>
      </x:c>
      <x:c r="J58" t="n">
        <x:v>5</x:v>
      </x:c>
      <x:c r="K58" t="str">
        <x:v>Em uso</x:v>
      </x:c>
    </x:row>
    <x:row r="59" ht="21" customHeight="1">
      <x:c r="A59" t="str">
        <x:v>AT-0058</x:v>
      </x:c>
      <x:c r="B59" t="str">
        <x:v>Servidor</x:v>
      </x:c>
      <x:c r="C59" t="str">
        <x:v>Dell</x:v>
      </x:c>
      <x:c r="D59" t="str">
        <x:v>PowerEdge R650</x:v>
      </x:c>
      <x:c r="E59" t="str">
        <x:v>Marketing</x:v>
      </x:c>
      <x:c r="F59" t="str">
        <x:v>SP-02</x:v>
      </x:c>
      <x:c r="G59" s="10" t="n">
        <x:v>45389</x:v>
      </x:c>
      <x:c r="H59" s="10" t="n">
        <x:v>47214</x:v>
      </x:c>
      <x:c r="I59" s="8" t="n">
        <x:v>39731</x:v>
      </x:c>
      <x:c r="J59" t="n">
        <x:v>7</x:v>
      </x:c>
      <x:c r="K59" t="str">
        <x:v>Em uso</x:v>
      </x:c>
    </x:row>
    <x:row r="60" ht="21" customHeight="1">
      <x:c r="A60" t="str">
        <x:v>AT-0059</x:v>
      </x:c>
      <x:c r="B60" t="str">
        <x:v>Servidor</x:v>
      </x:c>
      <x:c r="C60" t="str">
        <x:v>HPE</x:v>
      </x:c>
      <x:c r="D60" t="str">
        <x:v>ProLiant DL380</x:v>
      </x:c>
      <x:c r="E60" t="str">
        <x:v>Logística</x:v>
      </x:c>
      <x:c r="F60" t="str">
        <x:v>SP-03</x:v>
      </x:c>
      <x:c r="G60" s="10" t="n">
        <x:v>45979</x:v>
      </x:c>
      <x:c r="H60" s="10" t="n">
        <x:v>47804</x:v>
      </x:c>
      <x:c r="I60" s="8" t="n">
        <x:v>35411</x:v>
      </x:c>
      <x:c r="J60" t="n">
        <x:v>7</x:v>
      </x:c>
      <x:c r="K60" t="str">
        <x:v>Em uso</x:v>
      </x:c>
    </x:row>
    <x:row r="61" ht="21" customHeight="1">
      <x:c r="A61" t="str">
        <x:v>AT-0060</x:v>
      </x:c>
      <x:c r="B61" t="str">
        <x:v>Notebook</x:v>
      </x:c>
      <x:c r="C61" t="str">
        <x:v>Apple</x:v>
      </x:c>
      <x:c r="D61" t="str">
        <x:v>MacBook Pro</x:v>
      </x:c>
      <x:c r="E61" t="str">
        <x:v>Financeiro</x:v>
      </x:c>
      <x:c r="F61" t="str">
        <x:v>SP-04</x:v>
      </x:c>
      <x:c r="G61" s="10" t="n">
        <x:v>46175</x:v>
      </x:c>
      <x:c r="H61" s="10" t="n">
        <x:v>47270</x:v>
      </x:c>
      <x:c r="I61" s="8" t="n">
        <x:v>4892</x:v>
      </x:c>
      <x:c r="J61" t="n">
        <x:v>5</x:v>
      </x:c>
      <x:c r="K61" t="str">
        <x:v>Em uso</x:v>
      </x:c>
    </x:row>
    <x:row r="62" ht="21" customHeight="1">
      <x:c r="A62" t="str">
        <x:v>AT-0061</x:v>
      </x:c>
      <x:c r="B62" t="str">
        <x:v>Notebook</x:v>
      </x:c>
      <x:c r="C62" t="str">
        <x:v>Dell</x:v>
      </x:c>
      <x:c r="D62" t="str">
        <x:v>Latitude 5440</x:v>
      </x:c>
      <x:c r="E62" t="str">
        <x:v>Operações</x:v>
      </x:c>
      <x:c r="F62" t="str">
        <x:v>SP-01</x:v>
      </x:c>
      <x:c r="G62" s="10" t="n">
        <x:v>42748</x:v>
      </x:c>
      <x:c r="H62" s="10" t="n">
        <x:v>43843</x:v>
      </x:c>
      <x:c r="I62" s="8" t="n">
        <x:v>7669</x:v>
      </x:c>
      <x:c r="J62" t="n">
        <x:v>5</x:v>
      </x:c>
      <x:c r="K62" t="str">
        <x:v>Em uso</x:v>
      </x:c>
    </x:row>
    <x:row r="63" ht="21" customHeight="1">
      <x:c r="A63" t="str">
        <x:v>AT-0062</x:v>
      </x:c>
      <x:c r="B63" t="str">
        <x:v>Notebook</x:v>
      </x:c>
      <x:c r="C63" t="str">
        <x:v>Lenovo</x:v>
      </x:c>
      <x:c r="D63" t="str">
        <x:v>ThinkPad T14</x:v>
      </x:c>
      <x:c r="E63" t="str">
        <x:v>Jurídico</x:v>
      </x:c>
      <x:c r="F63" t="str">
        <x:v>SP-02</x:v>
      </x:c>
      <x:c r="G63" s="10" t="n">
        <x:v>43336</x:v>
      </x:c>
      <x:c r="H63" s="10" t="n">
        <x:v>44431</x:v>
      </x:c>
      <x:c r="I63" s="8" t="n">
        <x:v>5379</x:v>
      </x:c>
      <x:c r="J63" t="n">
        <x:v>5</x:v>
      </x:c>
      <x:c r="K63" t="str">
        <x:v>Em uso</x:v>
      </x:c>
    </x:row>
    <x:row r="64" ht="21" customHeight="1">
      <x:c r="A64" t="str">
        <x:v>AT-0063</x:v>
      </x:c>
      <x:c r="B64" t="str">
        <x:v>Notebook</x:v>
      </x:c>
      <x:c r="C64" t="str">
        <x:v>HP</x:v>
      </x:c>
      <x:c r="D64" t="str">
        <x:v>EliteBook 840</x:v>
      </x:c>
      <x:c r="E64" t="str">
        <x:v>RH</x:v>
      </x:c>
      <x:c r="F64" t="str">
        <x:v>SP-03</x:v>
      </x:c>
      <x:c r="G64" s="10" t="n">
        <x:v>43532</x:v>
      </x:c>
      <x:c r="H64" s="10" t="n">
        <x:v>44627</x:v>
      </x:c>
      <x:c r="I64" s="8" t="n">
        <x:v>4889</x:v>
      </x:c>
      <x:c r="J64" t="n">
        <x:v>5</x:v>
      </x:c>
      <x:c r="K64" t="str">
        <x:v>Em uso</x:v>
      </x:c>
    </x:row>
    <x:row r="65" ht="21" customHeight="1">
      <x:c r="A65" t="str">
        <x:v>AT-0064</x:v>
      </x:c>
      <x:c r="B65" t="str">
        <x:v>Servidor</x:v>
      </x:c>
      <x:c r="C65" t="str">
        <x:v>Dell</x:v>
      </x:c>
      <x:c r="D65" t="str">
        <x:v>PowerEdge R650</x:v>
      </x:c>
      <x:c r="E65" t="str">
        <x:v>Comercial</x:v>
      </x:c>
      <x:c r="F65" t="str">
        <x:v>SP-04</x:v>
      </x:c>
      <x:c r="G65" s="10" t="n">
        <x:v>44123</x:v>
      </x:c>
      <x:c r="H65" s="10" t="n">
        <x:v>45948</x:v>
      </x:c>
      <x:c r="I65" s="8" t="n">
        <x:v>32765</x:v>
      </x:c>
      <x:c r="J65" t="n">
        <x:v>7</x:v>
      </x:c>
      <x:c r="K65" t="str">
        <x:v>Em uso</x:v>
      </x:c>
    </x:row>
    <x:row r="66" ht="21" customHeight="1">
      <x:c r="A66" t="str">
        <x:v>AT-0065</x:v>
      </x:c>
      <x:c r="B66" t="str">
        <x:v>Servidor</x:v>
      </x:c>
      <x:c r="C66" t="str">
        <x:v>HPE</x:v>
      </x:c>
      <x:c r="D66" t="str">
        <x:v>ProLiant DL380</x:v>
      </x:c>
      <x:c r="E66" t="str">
        <x:v>TI</x:v>
      </x:c>
      <x:c r="F66" t="str">
        <x:v>SP-01</x:v>
      </x:c>
      <x:c r="G66" s="10" t="n">
        <x:v>44319</x:v>
      </x:c>
      <x:c r="H66" s="10" t="n">
        <x:v>46144</x:v>
      </x:c>
      <x:c r="I66" s="8" t="n">
        <x:v>28993</x:v>
      </x:c>
      <x:c r="J66" t="n">
        <x:v>7</x:v>
      </x:c>
      <x:c r="K66" t="str">
        <x:v>Em uso</x:v>
      </x:c>
    </x:row>
    <x:row r="67" ht="21" customHeight="1">
      <x:c r="A67" t="str">
        <x:v>AT-0066</x:v>
      </x:c>
      <x:c r="B67" t="str">
        <x:v>Notebook</x:v>
      </x:c>
      <x:c r="C67" t="str">
        <x:v>Apple</x:v>
      </x:c>
      <x:c r="D67" t="str">
        <x:v>MacBook Pro</x:v>
      </x:c>
      <x:c r="E67" t="str">
        <x:v>Marketing</x:v>
      </x:c>
      <x:c r="F67" t="str">
        <x:v>SP-02</x:v>
      </x:c>
      <x:c r="G67" s="10" t="n">
        <x:v>44909</x:v>
      </x:c>
      <x:c r="H67" s="10" t="n">
        <x:v>46004</x:v>
      </x:c>
      <x:c r="I67" s="8" t="n">
        <x:v>4775</x:v>
      </x:c>
      <x:c r="J67" t="n">
        <x:v>5</x:v>
      </x:c>
      <x:c r="K67" t="str">
        <x:v>Em uso</x:v>
      </x:c>
    </x:row>
    <x:row r="68" ht="21" customHeight="1">
      <x:c r="A68" t="str">
        <x:v>AT-0067</x:v>
      </x:c>
      <x:c r="B68" t="str">
        <x:v>Notebook</x:v>
      </x:c>
      <x:c r="C68" t="str">
        <x:v>Dell</x:v>
      </x:c>
      <x:c r="D68" t="str">
        <x:v>Latitude 5440</x:v>
      </x:c>
      <x:c r="E68" t="str">
        <x:v>Logística</x:v>
      </x:c>
      <x:c r="F68" t="str">
        <x:v>SP-03</x:v>
      </x:c>
      <x:c r="G68" s="10" t="n">
        <x:v>45132</x:v>
      </x:c>
      <x:c r="H68" s="10" t="n">
        <x:v>46227</x:v>
      </x:c>
      <x:c r="I68" s="8" t="n">
        <x:v>5413</x:v>
      </x:c>
      <x:c r="J68" t="n">
        <x:v>5</x:v>
      </x:c>
      <x:c r="K68" t="str">
        <x:v>Reserva</x:v>
      </x:c>
    </x:row>
    <x:row r="69" ht="21" customHeight="1">
      <x:c r="A69" t="str">
        <x:v>AT-0068</x:v>
      </x:c>
      <x:c r="B69" t="str">
        <x:v>Notebook</x:v>
      </x:c>
      <x:c r="C69" t="str">
        <x:v>Lenovo</x:v>
      </x:c>
      <x:c r="D69" t="str">
        <x:v>ThinkPad T14</x:v>
      </x:c>
      <x:c r="E69" t="str">
        <x:v>Financeiro</x:v>
      </x:c>
      <x:c r="F69" t="str">
        <x:v>SP-04</x:v>
      </x:c>
      <x:c r="G69" s="10" t="n">
        <x:v>45331</x:v>
      </x:c>
      <x:c r="H69" s="10" t="n">
        <x:v>46426</x:v>
      </x:c>
      <x:c r="I69" s="8" t="n">
        <x:v>5218</x:v>
      </x:c>
      <x:c r="J69" t="n">
        <x:v>5</x:v>
      </x:c>
      <x:c r="K69" t="str">
        <x:v>Em uso</x:v>
      </x:c>
    </x:row>
    <x:row r="70" ht="21" customHeight="1">
      <x:c r="A70" t="str">
        <x:v>AT-0069</x:v>
      </x:c>
      <x:c r="B70" t="str">
        <x:v>Notebook</x:v>
      </x:c>
      <x:c r="C70" t="str">
        <x:v>HP</x:v>
      </x:c>
      <x:c r="D70" t="str">
        <x:v>EliteBook 840</x:v>
      </x:c>
      <x:c r="E70" t="str">
        <x:v>Operações</x:v>
      </x:c>
      <x:c r="F70" t="str">
        <x:v>SP-01</x:v>
      </x:c>
      <x:c r="G70" s="10" t="n">
        <x:v>45920</x:v>
      </x:c>
      <x:c r="H70" s="10" t="n">
        <x:v>47015</x:v>
      </x:c>
      <x:c r="I70" s="8" t="n">
        <x:v>6947</x:v>
      </x:c>
      <x:c r="J70" t="n">
        <x:v>5</x:v>
      </x:c>
      <x:c r="K70" t="str">
        <x:v>Em uso</x:v>
      </x:c>
    </x:row>
    <x:row r="71" ht="21" customHeight="1">
      <x:c r="A71" t="str">
        <x:v>AT-0070</x:v>
      </x:c>
      <x:c r="B71" t="str">
        <x:v>Servidor</x:v>
      </x:c>
      <x:c r="C71" t="str">
        <x:v>Dell</x:v>
      </x:c>
      <x:c r="D71" t="str">
        <x:v>PowerEdge R650</x:v>
      </x:c>
      <x:c r="E71" t="str">
        <x:v>Jurídico</x:v>
      </x:c>
      <x:c r="F71" t="str">
        <x:v>SP-02</x:v>
      </x:c>
      <x:c r="G71" s="10" t="n">
        <x:v>46116</x:v>
      </x:c>
      <x:c r="H71" s="10" t="n">
        <x:v>47941</x:v>
      </x:c>
      <x:c r="I71" s="8" t="n">
        <x:v>31235</x:v>
      </x:c>
      <x:c r="J71" t="n">
        <x:v>7</x:v>
      </x:c>
      <x:c r="K71" t="str">
        <x:v>Em uso</x:v>
      </x:c>
    </x:row>
    <x:row r="72" ht="21" customHeight="1">
      <x:c r="A72" t="str">
        <x:v>AT-0071</x:v>
      </x:c>
      <x:c r="B72" t="str">
        <x:v>Servidor</x:v>
      </x:c>
      <x:c r="C72" t="str">
        <x:v>HPE</x:v>
      </x:c>
      <x:c r="D72" t="str">
        <x:v>ProLiant DL380</x:v>
      </x:c>
      <x:c r="E72" t="str">
        <x:v>RH</x:v>
      </x:c>
      <x:c r="F72" t="str">
        <x:v>SP-03</x:v>
      </x:c>
      <x:c r="G72" s="10" t="n">
        <x:v>43054</x:v>
      </x:c>
      <x:c r="H72" s="10" t="n">
        <x:v>44879</x:v>
      </x:c>
      <x:c r="I72" s="8" t="n">
        <x:v>42971</x:v>
      </x:c>
      <x:c r="J72" t="n">
        <x:v>7</x:v>
      </x:c>
      <x:c r="K72" t="str">
        <x:v>Em uso</x:v>
      </x:c>
    </x:row>
    <x:row r="73" ht="21" customHeight="1">
      <x:c r="A73" t="str">
        <x:v>AT-0072</x:v>
      </x:c>
      <x:c r="B73" t="str">
        <x:v>Notebook</x:v>
      </x:c>
      <x:c r="C73" t="str">
        <x:v>Apple</x:v>
      </x:c>
      <x:c r="D73" t="str">
        <x:v>MacBook Pro</x:v>
      </x:c>
      <x:c r="E73" t="str">
        <x:v>Comercial</x:v>
      </x:c>
      <x:c r="F73" t="str">
        <x:v>SP-04</x:v>
      </x:c>
      <x:c r="G73" s="10" t="n">
        <x:v>43277</x:v>
      </x:c>
      <x:c r="H73" s="10" t="n">
        <x:v>44372</x:v>
      </x:c>
      <x:c r="I73" s="8" t="n">
        <x:v>6598</x:v>
      </x:c>
      <x:c r="J73" t="n">
        <x:v>5</x:v>
      </x:c>
      <x:c r="K73" t="str">
        <x:v>Em uso</x:v>
      </x:c>
    </x:row>
    <x:row r="74" ht="21" customHeight="1">
      <x:c r="A74" t="str">
        <x:v>AT-0073</x:v>
      </x:c>
      <x:c r="B74" t="str">
        <x:v>Notebook</x:v>
      </x:c>
      <x:c r="C74" t="str">
        <x:v>Dell</x:v>
      </x:c>
      <x:c r="D74" t="str">
        <x:v>Latitude 5440</x:v>
      </x:c>
      <x:c r="E74" t="str">
        <x:v>TI</x:v>
      </x:c>
      <x:c r="F74" t="str">
        <x:v>SP-01</x:v>
      </x:c>
      <x:c r="G74" s="10" t="n">
        <x:v>43475</x:v>
      </x:c>
      <x:c r="H74" s="10" t="n">
        <x:v>44570</x:v>
      </x:c>
      <x:c r="I74" s="8" t="n">
        <x:v>6369</x:v>
      </x:c>
      <x:c r="J74" t="n">
        <x:v>5</x:v>
      </x:c>
      <x:c r="K74" t="str">
        <x:v>Em uso</x:v>
      </x:c>
    </x:row>
    <x:row r="75" ht="21" customHeight="1">
      <x:c r="A75" t="str">
        <x:v>AT-0074</x:v>
      </x:c>
      <x:c r="B75" t="str">
        <x:v>Notebook</x:v>
      </x:c>
      <x:c r="C75" t="str">
        <x:v>Lenovo</x:v>
      </x:c>
      <x:c r="D75" t="str">
        <x:v>ThinkPad T14</x:v>
      </x:c>
      <x:c r="E75" t="str">
        <x:v>Marketing</x:v>
      </x:c>
      <x:c r="F75" t="str">
        <x:v>SP-02</x:v>
      </x:c>
      <x:c r="G75" s="10" t="n">
        <x:v>44064</x:v>
      </x:c>
      <x:c r="H75" s="10" t="n">
        <x:v>45159</x:v>
      </x:c>
      <x:c r="I75" s="8" t="n">
        <x:v>7028</x:v>
      </x:c>
      <x:c r="J75" t="n">
        <x:v>5</x:v>
      </x:c>
      <x:c r="K75" t="str">
        <x:v>Em uso</x:v>
      </x:c>
    </x:row>
    <x:row r="76" ht="21" customHeight="1">
      <x:c r="A76" t="str">
        <x:v>AT-0075</x:v>
      </x:c>
      <x:c r="B76" t="str">
        <x:v>Notebook</x:v>
      </x:c>
      <x:c r="C76" t="str">
        <x:v>HP</x:v>
      </x:c>
      <x:c r="D76" t="str">
        <x:v>EliteBook 840</x:v>
      </x:c>
      <x:c r="E76" t="str">
        <x:v>Logística</x:v>
      </x:c>
      <x:c r="F76" t="str">
        <x:v>SP-03</x:v>
      </x:c>
      <x:c r="G76" s="10" t="n">
        <x:v>44260</x:v>
      </x:c>
      <x:c r="H76" s="10" t="n">
        <x:v>45355</x:v>
      </x:c>
      <x:c r="I76" s="8" t="n">
        <x:v>5102</x:v>
      </x:c>
      <x:c r="J76" t="n">
        <x:v>5</x:v>
      </x:c>
      <x:c r="K76" t="str">
        <x:v>Em uso</x:v>
      </x:c>
    </x:row>
    <x:row r="77" ht="21" customHeight="1">
      <x:c r="A77" t="str">
        <x:v>AT-0076</x:v>
      </x:c>
      <x:c r="B77" t="str">
        <x:v>Servidor</x:v>
      </x:c>
      <x:c r="C77" t="str">
        <x:v>Dell</x:v>
      </x:c>
      <x:c r="D77" t="str">
        <x:v>PowerEdge R650</x:v>
      </x:c>
      <x:c r="E77" t="str">
        <x:v>Financeiro</x:v>
      </x:c>
      <x:c r="F77" t="str">
        <x:v>SP-04</x:v>
      </x:c>
      <x:c r="G77" s="10" t="n">
        <x:v>44850</x:v>
      </x:c>
      <x:c r="H77" s="10" t="n">
        <x:v>46675</x:v>
      </x:c>
      <x:c r="I77" s="8" t="n">
        <x:v>38591</x:v>
      </x:c>
      <x:c r="J77" t="n">
        <x:v>7</x:v>
      </x:c>
      <x:c r="K77" t="str">
        <x:v>Em uso</x:v>
      </x:c>
    </x:row>
    <x:row r="78" ht="21" customHeight="1">
      <x:c r="A78" t="str">
        <x:v>AT-0077</x:v>
      </x:c>
      <x:c r="B78" t="str">
        <x:v>Servidor</x:v>
      </x:c>
      <x:c r="C78" t="str">
        <x:v>HPE</x:v>
      </x:c>
      <x:c r="D78" t="str">
        <x:v>ProLiant DL380</x:v>
      </x:c>
      <x:c r="E78" t="str">
        <x:v>Operações</x:v>
      </x:c>
      <x:c r="F78" t="str">
        <x:v>SP-01</x:v>
      </x:c>
      <x:c r="G78" s="10" t="n">
        <x:v>45073</x:v>
      </x:c>
      <x:c r="H78" s="10" t="n">
        <x:v>46898</x:v>
      </x:c>
      <x:c r="I78" s="8" t="n">
        <x:v>32078</x:v>
      </x:c>
      <x:c r="J78" t="n">
        <x:v>7</x:v>
      </x:c>
      <x:c r="K78" t="str">
        <x:v>Em uso</x:v>
      </x:c>
    </x:row>
    <x:row r="79" ht="21" customHeight="1">
      <x:c r="A79" t="str">
        <x:v>AT-0078</x:v>
      </x:c>
      <x:c r="B79" t="str">
        <x:v>Notebook</x:v>
      </x:c>
      <x:c r="C79" t="str">
        <x:v>Apple</x:v>
      </x:c>
      <x:c r="D79" t="str">
        <x:v>MacBook Pro</x:v>
      </x:c>
      <x:c r="E79" t="str">
        <x:v>Jurídico</x:v>
      </x:c>
      <x:c r="F79" t="str">
        <x:v>SP-02</x:v>
      </x:c>
      <x:c r="G79" s="10" t="n">
        <x:v>45637</x:v>
      </x:c>
      <x:c r="H79" s="10" t="n">
        <x:v>46732</x:v>
      </x:c>
      <x:c r="I79" s="8" t="n">
        <x:v>6680</x:v>
      </x:c>
      <x:c r="J79" t="n">
        <x:v>5</x:v>
      </x:c>
      <x:c r="K79" t="str">
        <x:v>Reserva</x:v>
      </x:c>
    </x:row>
    <x:row r="80" ht="21" customHeight="1">
      <x:c r="A80" t="str">
        <x:v>AT-0079</x:v>
      </x:c>
      <x:c r="B80" t="str">
        <x:v>Notebook</x:v>
      </x:c>
      <x:c r="C80" t="str">
        <x:v>Dell</x:v>
      </x:c>
      <x:c r="D80" t="str">
        <x:v>Latitude 5440</x:v>
      </x:c>
      <x:c r="E80" t="str">
        <x:v>RH</x:v>
      </x:c>
      <x:c r="F80" t="str">
        <x:v>SP-03</x:v>
      </x:c>
      <x:c r="G80" s="10" t="n">
        <x:v>45860</x:v>
      </x:c>
      <x:c r="H80" s="10" t="n">
        <x:v>46955</x:v>
      </x:c>
      <x:c r="I80" s="8" t="n">
        <x:v>6996</x:v>
      </x:c>
      <x:c r="J80" t="n">
        <x:v>5</x:v>
      </x:c>
      <x:c r="K80" t="str">
        <x:v>Em uso</x:v>
      </x:c>
    </x:row>
    <x:row r="81" ht="21" customHeight="1">
      <x:c r="A81" t="str">
        <x:v>AT-0080</x:v>
      </x:c>
      <x:c r="B81" t="str">
        <x:v>Notebook</x:v>
      </x:c>
      <x:c r="C81" t="str">
        <x:v>Lenovo</x:v>
      </x:c>
      <x:c r="D81" t="str">
        <x:v>ThinkPad T14</x:v>
      </x:c>
      <x:c r="E81" t="str">
        <x:v>Comercial</x:v>
      </x:c>
      <x:c r="F81" t="str">
        <x:v>SP-04</x:v>
      </x:c>
      <x:c r="G81" s="10" t="n">
        <x:v>46059</x:v>
      </x:c>
      <x:c r="H81" s="10" t="n">
        <x:v>47154</x:v>
      </x:c>
      <x:c r="I81" s="8" t="n">
        <x:v>7459</x:v>
      </x:c>
      <x:c r="J81" t="n">
        <x:v>5</x:v>
      </x:c>
      <x:c r="K81" t="str">
        <x:v>Em uso</x:v>
      </x:c>
    </x:row>
    <x:row r="82" ht="21" customHeight="1">
      <x:c r="A82" t="str">
        <x:v>AT-0081</x:v>
      </x:c>
      <x:c r="B82" t="str">
        <x:v>Notebook</x:v>
      </x:c>
      <x:c r="C82" t="str">
        <x:v>HP</x:v>
      </x:c>
      <x:c r="D82" t="str">
        <x:v>EliteBook 840</x:v>
      </x:c>
      <x:c r="E82" t="str">
        <x:v>TI</x:v>
      </x:c>
      <x:c r="F82" t="str">
        <x:v>SP-01</x:v>
      </x:c>
      <x:c r="G82" s="10" t="n">
        <x:v>42995</x:v>
      </x:c>
      <x:c r="H82" s="10" t="n">
        <x:v>44090</x:v>
      </x:c>
      <x:c r="I82" s="8" t="n">
        <x:v>7382</x:v>
      </x:c>
      <x:c r="J82" t="n">
        <x:v>5</x:v>
      </x:c>
      <x:c r="K82" t="str">
        <x:v>Em uso</x:v>
      </x:c>
    </x:row>
    <x:row r="83" ht="21" customHeight="1">
      <x:c r="A83" t="str">
        <x:v>AT-0082</x:v>
      </x:c>
      <x:c r="B83" t="str">
        <x:v>Servidor</x:v>
      </x:c>
      <x:c r="C83" t="str">
        <x:v>Dell</x:v>
      </x:c>
      <x:c r="D83" t="str">
        <x:v>PowerEdge R650</x:v>
      </x:c>
      <x:c r="E83" t="str">
        <x:v>Marketing</x:v>
      </x:c>
      <x:c r="F83" t="str">
        <x:v>SP-02</x:v>
      </x:c>
      <x:c r="G83" s="10" t="n">
        <x:v>43191</x:v>
      </x:c>
      <x:c r="H83" s="10" t="n">
        <x:v>45016</x:v>
      </x:c>
      <x:c r="I83" s="8" t="n">
        <x:v>40661</x:v>
      </x:c>
      <x:c r="J83" t="n">
        <x:v>7</x:v>
      </x:c>
      <x:c r="K83" t="str">
        <x:v>Em uso</x:v>
      </x:c>
    </x:row>
    <x:row r="84" ht="21" customHeight="1">
      <x:c r="A84" t="str">
        <x:v>AT-0083</x:v>
      </x:c>
      <x:c r="B84" t="str">
        <x:v>Servidor</x:v>
      </x:c>
      <x:c r="C84" t="str">
        <x:v>HPE</x:v>
      </x:c>
      <x:c r="D84" t="str">
        <x:v>ProLiant DL380</x:v>
      </x:c>
      <x:c r="E84" t="str">
        <x:v>Logística</x:v>
      </x:c>
      <x:c r="F84" t="str">
        <x:v>SP-03</x:v>
      </x:c>
      <x:c r="G84" s="10" t="n">
        <x:v>43781</x:v>
      </x:c>
      <x:c r="H84" s="10" t="n">
        <x:v>45606</x:v>
      </x:c>
      <x:c r="I84" s="8" t="n">
        <x:v>30543</x:v>
      </x:c>
      <x:c r="J84" t="n">
        <x:v>7</x:v>
      </x:c>
      <x:c r="K84" t="str">
        <x:v>Em uso</x:v>
      </x:c>
    </x:row>
    <x:row r="85" ht="21" customHeight="1">
      <x:c r="A85" t="str">
        <x:v>AT-0084</x:v>
      </x:c>
      <x:c r="B85" t="str">
        <x:v>Notebook</x:v>
      </x:c>
      <x:c r="C85" t="str">
        <x:v>Apple</x:v>
      </x:c>
      <x:c r="D85" t="str">
        <x:v>MacBook Pro</x:v>
      </x:c>
      <x:c r="E85" t="str">
        <x:v>Financeiro</x:v>
      </x:c>
      <x:c r="F85" t="str">
        <x:v>SP-04</x:v>
      </x:c>
      <x:c r="G85" s="10" t="n">
        <x:v>44005</x:v>
      </x:c>
      <x:c r="H85" s="10" t="n">
        <x:v>45100</x:v>
      </x:c>
      <x:c r="I85" s="8" t="n">
        <x:v>4904</x:v>
      </x:c>
      <x:c r="J85" t="n">
        <x:v>5</x:v>
      </x:c>
      <x:c r="K85" t="str">
        <x:v>Em uso</x:v>
      </x:c>
    </x:row>
    <x:row r="86" ht="21" customHeight="1">
      <x:c r="A86" t="str">
        <x:v>AT-0085</x:v>
      </x:c>
      <x:c r="B86" t="str">
        <x:v>Notebook</x:v>
      </x:c>
      <x:c r="C86" t="str">
        <x:v>Dell</x:v>
      </x:c>
      <x:c r="D86" t="str">
        <x:v>Latitude 5440</x:v>
      </x:c>
      <x:c r="E86" t="str">
        <x:v>Operações</x:v>
      </x:c>
      <x:c r="F86" t="str">
        <x:v>SP-01</x:v>
      </x:c>
      <x:c r="G86" s="10" t="n">
        <x:v>44203</x:v>
      </x:c>
      <x:c r="H86" s="10" t="n">
        <x:v>45298</x:v>
      </x:c>
      <x:c r="I86" s="8" t="n">
        <x:v>6613</x:v>
      </x:c>
      <x:c r="J86" t="n">
        <x:v>5</x:v>
      </x:c>
      <x:c r="K86" t="str">
        <x:v>Em uso</x:v>
      </x:c>
    </x:row>
    <x:row r="87" ht="21" customHeight="1">
      <x:c r="A87" t="str">
        <x:v>AT-0086</x:v>
      </x:c>
      <x:c r="B87" t="str">
        <x:v>Notebook</x:v>
      </x:c>
      <x:c r="C87" t="str">
        <x:v>Lenovo</x:v>
      </x:c>
      <x:c r="D87" t="str">
        <x:v>ThinkPad T14</x:v>
      </x:c>
      <x:c r="E87" t="str">
        <x:v>Jurídico</x:v>
      </x:c>
      <x:c r="F87" t="str">
        <x:v>SP-02</x:v>
      </x:c>
      <x:c r="G87" s="10" t="n">
        <x:v>44791</x:v>
      </x:c>
      <x:c r="H87" s="10" t="n">
        <x:v>45886</x:v>
      </x:c>
      <x:c r="I87" s="8" t="n">
        <x:v>4916</x:v>
      </x:c>
      <x:c r="J87" t="n">
        <x:v>5</x:v>
      </x:c>
      <x:c r="K87" t="str">
        <x:v>Em uso</x:v>
      </x:c>
    </x:row>
    <x:row r="88" ht="21" customHeight="1">
      <x:c r="A88" t="str">
        <x:v>AT-0087</x:v>
      </x:c>
      <x:c r="B88" t="str">
        <x:v>Notebook</x:v>
      </x:c>
      <x:c r="C88" t="str">
        <x:v>HP</x:v>
      </x:c>
      <x:c r="D88" t="str">
        <x:v>EliteBook 840</x:v>
      </x:c>
      <x:c r="E88" t="str">
        <x:v>RH</x:v>
      </x:c>
      <x:c r="F88" t="str">
        <x:v>SP-03</x:v>
      </x:c>
      <x:c r="G88" s="10" t="n">
        <x:v>44987</x:v>
      </x:c>
      <x:c r="H88" s="10" t="n">
        <x:v>46082</x:v>
      </x:c>
      <x:c r="I88" s="8" t="n">
        <x:v>6796</x:v>
      </x:c>
      <x:c r="J88" t="n">
        <x:v>5</x:v>
      </x:c>
      <x:c r="K88" t="str">
        <x:v>Em uso</x:v>
      </x:c>
    </x:row>
    <x:row r="89" ht="21" customHeight="1">
      <x:c r="A89" t="str">
        <x:v>AT-0088</x:v>
      </x:c>
      <x:c r="B89" t="str">
        <x:v>Servidor</x:v>
      </x:c>
      <x:c r="C89" t="str">
        <x:v>Dell</x:v>
      </x:c>
      <x:c r="D89" t="str">
        <x:v>PowerEdge R650</x:v>
      </x:c>
      <x:c r="E89" t="str">
        <x:v>Comercial</x:v>
      </x:c>
      <x:c r="F89" t="str">
        <x:v>SP-04</x:v>
      </x:c>
      <x:c r="G89" s="10" t="n">
        <x:v>45578</x:v>
      </x:c>
      <x:c r="H89" s="10" t="n">
        <x:v>47403</x:v>
      </x:c>
      <x:c r="I89" s="8" t="n">
        <x:v>34892</x:v>
      </x:c>
      <x:c r="J89" t="n">
        <x:v>7</x:v>
      </x:c>
      <x:c r="K89" t="str">
        <x:v>Em uso</x:v>
      </x:c>
    </x:row>
    <x:row r="90" ht="21" customHeight="1">
      <x:c r="A90" t="str">
        <x:v>AT-0089</x:v>
      </x:c>
      <x:c r="B90" t="str">
        <x:v>Servidor</x:v>
      </x:c>
      <x:c r="C90" t="str">
        <x:v>HPE</x:v>
      </x:c>
      <x:c r="D90" t="str">
        <x:v>ProLiant DL380</x:v>
      </x:c>
      <x:c r="E90" t="str">
        <x:v>TI</x:v>
      </x:c>
      <x:c r="F90" t="str">
        <x:v>SP-01</x:v>
      </x:c>
      <x:c r="G90" s="10" t="n">
        <x:v>45801</x:v>
      </x:c>
      <x:c r="H90" s="10" t="n">
        <x:v>47626</x:v>
      </x:c>
      <x:c r="I90" s="8" t="n">
        <x:v>34112</x:v>
      </x:c>
      <x:c r="J90" t="n">
        <x:v>7</x:v>
      </x:c>
      <x:c r="K90" t="str">
        <x:v>Reserva</x:v>
      </x:c>
    </x:row>
    <x:row r="91" ht="21" customHeight="1">
      <x:c r="A91" t="str">
        <x:v>AT-0090</x:v>
      </x:c>
      <x:c r="B91" t="str">
        <x:v>Notebook</x:v>
      </x:c>
      <x:c r="C91" t="str">
        <x:v>Apple</x:v>
      </x:c>
      <x:c r="D91" t="str">
        <x:v>MacBook Pro</x:v>
      </x:c>
      <x:c r="E91" t="str">
        <x:v>Marketing</x:v>
      </x:c>
      <x:c r="F91" t="str">
        <x:v>SP-02</x:v>
      </x:c>
      <x:c r="G91" s="10" t="n">
        <x:v>46364</x:v>
      </x:c>
      <x:c r="H91" s="10" t="n">
        <x:v>47459</x:v>
      </x:c>
      <x:c r="I91" s="8" t="n">
        <x:v>7324</x:v>
      </x:c>
      <x:c r="J91" t="n">
        <x:v>5</x:v>
      </x:c>
      <x:c r="K91" t="str">
        <x:v>Em uso</x:v>
      </x:c>
    </x:row>
    <x:row r="92" ht="21" customHeight="1">
      <x:c r="A92" t="str">
        <x:v>AT-0091</x:v>
      </x:c>
      <x:c r="B92" t="str">
        <x:v>Notebook</x:v>
      </x:c>
      <x:c r="C92" t="str">
        <x:v>Dell</x:v>
      </x:c>
      <x:c r="D92" t="str">
        <x:v>Latitude 5440</x:v>
      </x:c>
      <x:c r="E92" t="str">
        <x:v>Logística</x:v>
      </x:c>
      <x:c r="F92" t="str">
        <x:v>SP-03</x:v>
      </x:c>
      <x:c r="G92" s="10" t="n">
        <x:v>42935</x:v>
      </x:c>
      <x:c r="H92" s="10" t="n">
        <x:v>44030</x:v>
      </x:c>
      <x:c r="I92" s="8" t="n">
        <x:v>5351</x:v>
      </x:c>
      <x:c r="J92" t="n">
        <x:v>5</x:v>
      </x:c>
      <x:c r="K92" t="str">
        <x:v>Em uso</x:v>
      </x:c>
    </x:row>
    <x:row r="93" ht="21" customHeight="1">
      <x:c r="A93" t="str">
        <x:v>AT-0092</x:v>
      </x:c>
      <x:c r="B93" t="str">
        <x:v>Notebook</x:v>
      </x:c>
      <x:c r="C93" t="str">
        <x:v>Lenovo</x:v>
      </x:c>
      <x:c r="D93" t="str">
        <x:v>ThinkPad T14</x:v>
      </x:c>
      <x:c r="E93" t="str">
        <x:v>Financeiro</x:v>
      </x:c>
      <x:c r="F93" t="str">
        <x:v>SP-04</x:v>
      </x:c>
      <x:c r="G93" s="10" t="n">
        <x:v>43134</x:v>
      </x:c>
      <x:c r="H93" s="10" t="n">
        <x:v>44229</x:v>
      </x:c>
      <x:c r="I93" s="8" t="n">
        <x:v>6466</x:v>
      </x:c>
      <x:c r="J93" t="n">
        <x:v>5</x:v>
      </x:c>
      <x:c r="K93" t="str">
        <x:v>Em uso</x:v>
      </x:c>
    </x:row>
    <x:row r="94" ht="21" customHeight="1">
      <x:c r="A94" t="str">
        <x:v>AT-0093</x:v>
      </x:c>
      <x:c r="B94" t="str">
        <x:v>Notebook</x:v>
      </x:c>
      <x:c r="C94" t="str">
        <x:v>HP</x:v>
      </x:c>
      <x:c r="D94" t="str">
        <x:v>EliteBook 840</x:v>
      </x:c>
      <x:c r="E94" t="str">
        <x:v>Operações</x:v>
      </x:c>
      <x:c r="F94" t="str">
        <x:v>SP-01</x:v>
      </x:c>
      <x:c r="G94" s="10" t="n">
        <x:v>43722</x:v>
      </x:c>
      <x:c r="H94" s="10" t="n">
        <x:v>44817</x:v>
      </x:c>
      <x:c r="I94" s="8" t="n">
        <x:v>5739</x:v>
      </x:c>
      <x:c r="J94" t="n">
        <x:v>5</x:v>
      </x:c>
      <x:c r="K94" t="str">
        <x:v>Em uso</x:v>
      </x:c>
    </x:row>
    <x:row r="95" ht="21" customHeight="1">
      <x:c r="A95" t="str">
        <x:v>AT-0094</x:v>
      </x:c>
      <x:c r="B95" t="str">
        <x:v>Servidor</x:v>
      </x:c>
      <x:c r="C95" t="str">
        <x:v>Dell</x:v>
      </x:c>
      <x:c r="D95" t="str">
        <x:v>PowerEdge R650</x:v>
      </x:c>
      <x:c r="E95" t="str">
        <x:v>Jurídico</x:v>
      </x:c>
      <x:c r="F95" t="str">
        <x:v>SP-02</x:v>
      </x:c>
      <x:c r="G95" s="10" t="n">
        <x:v>43946</x:v>
      </x:c>
      <x:c r="H95" s="10" t="n">
        <x:v>45771</x:v>
      </x:c>
      <x:c r="I95" s="8" t="n">
        <x:v>29707</x:v>
      </x:c>
      <x:c r="J95" t="n">
        <x:v>7</x:v>
      </x:c>
      <x:c r="K95" t="str">
        <x:v>Em uso</x:v>
      </x:c>
    </x:row>
    <x:row r="96" ht="21" customHeight="1">
      <x:c r="A96" t="str">
        <x:v>AT-0095</x:v>
      </x:c>
      <x:c r="B96" t="str">
        <x:v>Servidor</x:v>
      </x:c>
      <x:c r="C96" t="str">
        <x:v>HPE</x:v>
      </x:c>
      <x:c r="D96" t="str">
        <x:v>ProLiant DL380</x:v>
      </x:c>
      <x:c r="E96" t="str">
        <x:v>RH</x:v>
      </x:c>
      <x:c r="F96" t="str">
        <x:v>SP-03</x:v>
      </x:c>
      <x:c r="G96" s="10" t="n">
        <x:v>44509</x:v>
      </x:c>
      <x:c r="H96" s="10" t="n">
        <x:v>46334</x:v>
      </x:c>
      <x:c r="I96" s="8" t="n">
        <x:v>35369</x:v>
      </x:c>
      <x:c r="J96" t="n">
        <x:v>7</x:v>
      </x:c>
      <x:c r="K96" t="str">
        <x:v>Em uso</x:v>
      </x:c>
    </x:row>
    <x:row r="97" ht="21" customHeight="1">
      <x:c r="A97" t="str">
        <x:v>AT-0096</x:v>
      </x:c>
      <x:c r="B97" t="str">
        <x:v>Notebook</x:v>
      </x:c>
      <x:c r="C97" t="str">
        <x:v>Apple</x:v>
      </x:c>
      <x:c r="D97" t="str">
        <x:v>MacBook Pro</x:v>
      </x:c>
      <x:c r="E97" t="str">
        <x:v>Comercial</x:v>
      </x:c>
      <x:c r="F97" t="str">
        <x:v>SP-04</x:v>
      </x:c>
      <x:c r="G97" s="10" t="n">
        <x:v>44732</x:v>
      </x:c>
      <x:c r="H97" s="10" t="n">
        <x:v>45827</x:v>
      </x:c>
      <x:c r="I97" s="8" t="n">
        <x:v>7428</x:v>
      </x:c>
      <x:c r="J97" t="n">
        <x:v>5</x:v>
      </x:c>
      <x:c r="K97" t="str">
        <x:v>Em uso</x:v>
      </x:c>
    </x:row>
    <x:row r="98" ht="21" customHeight="1">
      <x:c r="A98" t="str">
        <x:v>AT-0097</x:v>
      </x:c>
      <x:c r="B98" t="str">
        <x:v>Notebook</x:v>
      </x:c>
      <x:c r="C98" t="str">
        <x:v>Dell</x:v>
      </x:c>
      <x:c r="D98" t="str">
        <x:v>Latitude 5440</x:v>
      </x:c>
      <x:c r="E98" t="str">
        <x:v>TI</x:v>
      </x:c>
      <x:c r="F98" t="str">
        <x:v>SP-01</x:v>
      </x:c>
      <x:c r="G98" s="10" t="n">
        <x:v>44930</x:v>
      </x:c>
      <x:c r="H98" s="10" t="n">
        <x:v>46025</x:v>
      </x:c>
      <x:c r="I98" s="8" t="n">
        <x:v>5544</x:v>
      </x:c>
      <x:c r="J98" t="n">
        <x:v>5</x:v>
      </x:c>
      <x:c r="K98" t="str">
        <x:v>Em uso</x:v>
      </x:c>
    </x:row>
    <x:row r="99" ht="21" customHeight="1">
      <x:c r="A99" t="str">
        <x:v>AT-0098</x:v>
      </x:c>
      <x:c r="B99" t="str">
        <x:v>Notebook</x:v>
      </x:c>
      <x:c r="C99" t="str">
        <x:v>Lenovo</x:v>
      </x:c>
      <x:c r="D99" t="str">
        <x:v>ThinkPad T14</x:v>
      </x:c>
      <x:c r="E99" t="str">
        <x:v>Marketing</x:v>
      </x:c>
      <x:c r="F99" t="str">
        <x:v>SP-02</x:v>
      </x:c>
      <x:c r="G99" s="10" t="n">
        <x:v>45519</x:v>
      </x:c>
      <x:c r="H99" s="10" t="n">
        <x:v>46614</x:v>
      </x:c>
      <x:c r="I99" s="8" t="n">
        <x:v>6427</x:v>
      </x:c>
      <x:c r="J99" t="n">
        <x:v>5</x:v>
      </x:c>
      <x:c r="K99" t="str">
        <x:v>Em uso</x:v>
      </x:c>
    </x:row>
    <x:row r="100" ht="21" customHeight="1">
      <x:c r="A100" t="str">
        <x:v>AT-0099</x:v>
      </x:c>
      <x:c r="B100" t="str">
        <x:v>Notebook</x:v>
      </x:c>
      <x:c r="C100" t="str">
        <x:v>HP</x:v>
      </x:c>
      <x:c r="D100" t="str">
        <x:v>EliteBook 840</x:v>
      </x:c>
      <x:c r="E100" t="str">
        <x:v>Logística</x:v>
      </x:c>
      <x:c r="F100" t="str">
        <x:v>SP-03</x:v>
      </x:c>
      <x:c r="G100" s="10" t="n">
        <x:v>45742</x:v>
      </x:c>
      <x:c r="H100" s="10" t="n">
        <x:v>46837</x:v>
      </x:c>
      <x:c r="I100" s="8" t="n">
        <x:v>6458</x:v>
      </x:c>
      <x:c r="J100" t="n">
        <x:v>5</x:v>
      </x:c>
      <x:c r="K100" t="str">
        <x:v>Em uso</x:v>
      </x:c>
    </x:row>
    <x:row r="101" ht="21" customHeight="1">
      <x:c r="A101" t="str">
        <x:v>AT-0100</x:v>
      </x:c>
      <x:c r="B101" t="str">
        <x:v>Servidor</x:v>
      </x:c>
      <x:c r="C101" t="str">
        <x:v>Dell</x:v>
      </x:c>
      <x:c r="D101" t="str">
        <x:v>PowerEdge R650</x:v>
      </x:c>
      <x:c r="E101" t="str">
        <x:v>Financeiro</x:v>
      </x:c>
      <x:c r="F101" t="str">
        <x:v>SP-04</x:v>
      </x:c>
      <x:c r="G101" s="10" t="n">
        <x:v>46305</x:v>
      </x:c>
      <x:c r="H101" s="10" t="n">
        <x:v>48130</x:v>
      </x:c>
      <x:c r="I101" s="8" t="n">
        <x:v>32904</x:v>
      </x:c>
      <x:c r="J101" t="n">
        <x:v>7</x:v>
      </x:c>
      <x:c r="K101" t="str">
        <x:v>Reserva</x:v>
      </x:c>
    </x:row>
  </x:sheetData>
  <x:pageMargins left="0.7" right="0.7" top="0.75" bottom="0.75" header="0.3" footer="0.3"/>
  <x:tableParts count="1">
    <x:tablePart xmlns:r="http://schemas.openxmlformats.org/officeDocument/2006/relationships" r:id="Rf643c7e577684067"/>
  </x:tableParts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26" hidden="0" customWidth="1"/>
    <x:col min="3" max="3" width="21" hidden="0" customWidth="1"/>
    <x:col min="4" max="4" width="20" hidden="0" customWidth="1"/>
    <x:col min="5" max="5" width="17" hidden="0" customWidth="1"/>
    <x:col min="6" max="6" width="19" hidden="0" customWidth="1"/>
    <x:col min="7" max="7" width="17" hidden="0" customWidth="1"/>
    <x:col min="8" max="8" width="20" hidden="0" customWidth="1"/>
    <x:col min="9" max="9" width="23" hidden="0" customWidth="1"/>
    <x:col min="10" max="10" width="15" hidden="0" customWidth="1"/>
    <x:col min="11" max="11" width="18" hidden="0" customWidth="1"/>
  </x:cols>
  <x:sheetData>
    <x:row r="1" ht="30" customHeight="1">
      <x:c r="A1" s="4" t="str">
        <x:v>Contrato</x:v>
      </x:c>
      <x:c r="B1" s="4" t="str">
        <x:v>Fornecedor</x:v>
      </x:c>
      <x:c r="C1" s="4" t="str">
        <x:v>Serviço</x:v>
      </x:c>
      <x:c r="D1" s="4" t="str">
        <x:v>Departamento</x:v>
      </x:c>
      <x:c r="E1" s="4" t="str">
        <x:v>Início</x:v>
      </x:c>
      <x:c r="F1" s="4" t="str">
        <x:v>Vencimento</x:v>
      </x:c>
      <x:c r="G1" s="4" t="str">
        <x:v>Pagamento</x:v>
      </x:c>
      <x:c r="H1" s="4" t="str">
        <x:v>Valor pago (R$)</x:v>
      </x:c>
      <x:c r="I1" s="4" t="str">
        <x:v>Nota fiscal</x:v>
      </x:c>
      <x:c r="J1" s="4" t="str">
        <x:v>Situação</x:v>
      </x:c>
      <x:c r="K1" s="4" t="str">
        <x:v>Periodicidade</x:v>
      </x:c>
    </x:row>
    <x:row r="2" ht="21" customHeight="1">
      <x:c r="A2" t="str">
        <x:v>CTR-0001</x:v>
      </x:c>
      <x:c r="B2" t="str">
        <x:v>Alfa Tecnologia</x:v>
      </x:c>
      <x:c r="C2" t="str">
        <x:v>Software</x:v>
      </x:c>
      <x:c r="D2" t="str">
        <x:v>TI</x:v>
      </x:c>
      <x:c r="E2" s="10" t="n">
        <x:v>44931</x:v>
      </x:c>
      <x:c r="F2" s="10" t="n">
        <x:v>45296</x:v>
      </x:c>
      <x:c r="G2" s="10" t="n">
        <x:v>45665</x:v>
      </x:c>
      <x:c r="H2" s="8" t="n">
        <x:v>13472</x:v>
      </x:c>
      <x:c r="I2" t="str">
        <x:v>NF-FOR-0001</x:v>
      </x:c>
      <x:c r="J2" t="str">
        <x:v>Vencido</x:v>
      </x:c>
      <x:c r="K2" t="str">
        <x:v>Mensal</x:v>
      </x:c>
    </x:row>
    <x:row r="3" ht="21" customHeight="1">
      <x:c r="A3" t="str">
        <x:v>CTR-0002</x:v>
      </x:c>
      <x:c r="B3" t="str">
        <x:v>Delta Cloud</x:v>
      </x:c>
      <x:c r="C3" t="str">
        <x:v>Suporte</x:v>
      </x:c>
      <x:c r="D3" t="str">
        <x:v>Financeiro</x:v>
      </x:c>
      <x:c r="E3" s="10" t="n">
        <x:v>45328</x:v>
      </x:c>
      <x:c r="F3" s="10" t="n">
        <x:v>46058</x:v>
      </x:c>
      <x:c r="G3" s="10" t="n">
        <x:v>45697</x:v>
      </x:c>
      <x:c r="H3" s="8" t="n">
        <x:v>16760</x:v>
      </x:c>
      <x:c r="I3" t="str">
        <x:v>NF-FOR-0002</x:v>
      </x:c>
      <x:c r="J3" t="str">
        <x:v>Vencido</x:v>
      </x:c>
      <x:c r="K3" t="str">
        <x:v>Anual</x:v>
      </x:c>
    </x:row>
    <x:row r="4" ht="21" customHeight="1">
      <x:c r="A4" t="str">
        <x:v>CTR-0003</x:v>
      </x:c>
      <x:c r="B4" t="str">
        <x:v>Nexa Serviços</x:v>
      </x:c>
      <x:c r="C4" t="str">
        <x:v>Cloud</x:v>
      </x:c>
      <x:c r="D4" t="str">
        <x:v>RH</x:v>
      </x:c>
      <x:c r="E4" s="10" t="n">
        <x:v>45723</x:v>
      </x:c>
      <x:c r="F4" s="10" t="n">
        <x:v>46818</x:v>
      </x:c>
      <x:c r="G4" s="10" t="n">
        <x:v>45726</x:v>
      </x:c>
      <x:c r="H4" s="8" t="n">
        <x:v>7719</x:v>
      </x:c>
      <x:c r="I4" t="str">
        <x:v>NF-FOR-0003</x:v>
      </x:c>
      <x:c r="J4" t="str">
        <x:v>Ativo</x:v>
      </x:c>
      <x:c r="K4" t="str">
        <x:v>Anual</x:v>
      </x:c>
    </x:row>
    <x:row r="5" ht="21" customHeight="1">
      <x:c r="A5" t="str">
        <x:v>CTR-0004</x:v>
      </x:c>
      <x:c r="B5" t="str">
        <x:v>Omega Telecom</x:v>
      </x:c>
      <x:c r="C5" t="str">
        <x:v>Infraestrutura</x:v>
      </x:c>
      <x:c r="D5" t="str">
        <x:v>Marketing</x:v>
      </x:c>
      <x:c r="E5" s="10" t="n">
        <x:v>46120</x:v>
      </x:c>
      <x:c r="F5" s="10" t="n">
        <x:v>46485</x:v>
      </x:c>
      <x:c r="G5" s="10" t="n">
        <x:v>45758</x:v>
      </x:c>
      <x:c r="H5" s="8" t="n">
        <x:v>14918</x:v>
      </x:c>
      <x:c r="I5" t="str">
        <x:v>NF-FOR-0004</x:v>
      </x:c>
      <x:c r="J5" t="str">
        <x:v>Ativo</x:v>
      </x:c>
      <x:c r="K5" t="str">
        <x:v>Mensal</x:v>
      </x:c>
    </x:row>
    <x:row r="6" ht="21" customHeight="1">
      <x:c r="A6" t="str">
        <x:v>CTR-0005</x:v>
      </x:c>
      <x:c r="B6" t="str">
        <x:v>Vértice Suprimentos</x:v>
      </x:c>
      <x:c r="C6" t="str">
        <x:v>Facilities</x:v>
      </x:c>
      <x:c r="D6" t="str">
        <x:v>Operações</x:v>
      </x:c>
      <x:c r="E6" s="10" t="n">
        <x:v>45055</x:v>
      </x:c>
      <x:c r="F6" s="10" t="n">
        <x:v>45785</x:v>
      </x:c>
      <x:c r="G6" s="10" t="n">
        <x:v>45789</x:v>
      </x:c>
      <x:c r="H6" s="8" t="n">
        <x:v>19240</x:v>
      </x:c>
      <x:c r="I6" t="str">
        <x:v>NF-FOR-0005</x:v>
      </x:c>
      <x:c r="J6" t="str">
        <x:v>Vencido</x:v>
      </x:c>
      <x:c r="K6" t="str">
        <x:v>Anual</x:v>
      </x:c>
    </x:row>
    <x:row r="7" ht="21" customHeight="1">
      <x:c r="A7" t="str">
        <x:v>CTR-0006</x:v>
      </x:c>
      <x:c r="B7" t="str">
        <x:v>Beta Facilities</x:v>
      </x:c>
      <x:c r="C7" t="str">
        <x:v>Software</x:v>
      </x:c>
      <x:c r="D7" t="str">
        <x:v>Comercial</x:v>
      </x:c>
      <x:c r="E7" s="10" t="n">
        <x:v>45453</x:v>
      </x:c>
      <x:c r="F7" s="10" t="n">
        <x:v>46548</x:v>
      </x:c>
      <x:c r="G7" s="10" t="n">
        <x:v>45821</x:v>
      </x:c>
      <x:c r="H7" s="8" t="n">
        <x:v>22286</x:v>
      </x:c>
      <x:c r="I7" t="str">
        <x:v>NF-FOR-0006</x:v>
      </x:c>
      <x:c r="J7" t="str">
        <x:v>Ativo</x:v>
      </x:c>
      <x:c r="K7" t="str">
        <x:v>Anual</x:v>
      </x:c>
    </x:row>
    <x:row r="8" ht="21" customHeight="1">
      <x:c r="A8" t="str">
        <x:v>CTR-0007</x:v>
      </x:c>
      <x:c r="B8" t="str">
        <x:v>Sigma Consultoria</x:v>
      </x:c>
      <x:c r="C8" t="str">
        <x:v>Suporte</x:v>
      </x:c>
      <x:c r="D8" t="str">
        <x:v>Logística</x:v>
      </x:c>
      <x:c r="E8" s="10" t="n">
        <x:v>45849</x:v>
      </x:c>
      <x:c r="F8" s="10" t="n">
        <x:v>46214</x:v>
      </x:c>
      <x:c r="G8" s="10" t="n">
        <x:v>45852</x:v>
      </x:c>
      <x:c r="H8" s="8" t="n">
        <x:v>7632</x:v>
      </x:c>
      <x:c r="I8" t="str">
        <x:v>NF-FOR-0007</x:v>
      </x:c>
      <x:c r="J8" t="str">
        <x:v>Vencido</x:v>
      </x:c>
      <x:c r="K8" t="str">
        <x:v>Mensal</x:v>
      </x:c>
    </x:row>
    <x:row r="9" ht="21" customHeight="1">
      <x:c r="A9" t="str">
        <x:v>CTR-0008</x:v>
      </x:c>
      <x:c r="B9" t="str">
        <x:v>Orion Datacenter</x:v>
      </x:c>
      <x:c r="C9" t="str">
        <x:v>Cloud</x:v>
      </x:c>
      <x:c r="D9" t="str">
        <x:v>Jurídico</x:v>
      </x:c>
      <x:c r="E9" s="10" t="n">
        <x:v>46246</x:v>
      </x:c>
      <x:c r="F9" s="10" t="n">
        <x:v>46976</x:v>
      </x:c>
      <x:c r="G9" s="10" t="n">
        <x:v>45884</x:v>
      </x:c>
      <x:c r="H9" s="8" t="n">
        <x:v>12025</x:v>
      </x:c>
      <x:c r="I9" t="str">
        <x:v>NF-FOR-0008</x:v>
      </x:c>
      <x:c r="J9" t="str">
        <x:v>Ativo</x:v>
      </x:c>
      <x:c r="K9" t="str">
        <x:v>Anual</x:v>
      </x:c>
    </x:row>
    <x:row r="10" ht="21" customHeight="1">
      <x:c r="A10" t="str">
        <x:v>CTR-0009</x:v>
      </x:c>
      <x:c r="B10" t="str">
        <x:v>Lumina Energia</x:v>
      </x:c>
      <x:c r="C10" t="str">
        <x:v>Infraestrutura</x:v>
      </x:c>
      <x:c r="D10" t="str">
        <x:v>TI</x:v>
      </x:c>
      <x:c r="E10" s="10" t="n">
        <x:v>45182</x:v>
      </x:c>
      <x:c r="F10" s="10" t="n">
        <x:v>46277</x:v>
      </x:c>
      <x:c r="G10" s="10" t="n">
        <x:v>45916</x:v>
      </x:c>
      <x:c r="H10" s="8" t="n">
        <x:v>23400</x:v>
      </x:c>
      <x:c r="I10" t="str">
        <x:v>NF-FOR-0009</x:v>
      </x:c>
      <x:c r="J10" t="str">
        <x:v>Vencido</x:v>
      </x:c>
      <x:c r="K10" t="str">
        <x:v>Anual</x:v>
      </x:c>
    </x:row>
    <x:row r="11" ht="21" customHeight="1">
      <x:c r="A11" t="str">
        <x:v>CTR-0010</x:v>
      </x:c>
      <x:c r="B11" t="str">
        <x:v>Atlas Software</x:v>
      </x:c>
      <x:c r="C11" t="str">
        <x:v>Facilities</x:v>
      </x:c>
      <x:c r="D11" t="str">
        <x:v>Financeiro</x:v>
      </x:c>
      <x:c r="E11" s="10" t="n">
        <x:v>45579</x:v>
      </x:c>
      <x:c r="F11" s="10" t="n">
        <x:v>45944</x:v>
      </x:c>
      <x:c r="G11" s="10" t="n">
        <x:v>45947</x:v>
      </x:c>
      <x:c r="H11" s="8" t="n">
        <x:v>21223</x:v>
      </x:c>
      <x:c r="I11" t="str">
        <x:v>NF-FOR-0010</x:v>
      </x:c>
      <x:c r="J11" t="str">
        <x:v>Vencido</x:v>
      </x:c>
      <x:c r="K11" t="str">
        <x:v>Mensal</x:v>
      </x:c>
    </x:row>
    <x:row r="12" ht="21" customHeight="1">
      <x:c r="A12" t="str">
        <x:v>CTR-0011</x:v>
      </x:c>
      <x:c r="B12" t="str">
        <x:v>Ponte Digital</x:v>
      </x:c>
      <x:c r="C12" t="str">
        <x:v>Software</x:v>
      </x:c>
      <x:c r="D12" t="str">
        <x:v>RH</x:v>
      </x:c>
      <x:c r="E12" s="10" t="n">
        <x:v>45976</x:v>
      </x:c>
      <x:c r="F12" s="10" t="n">
        <x:v>46706</x:v>
      </x:c>
      <x:c r="G12" s="10" t="n">
        <x:v>45979</x:v>
      </x:c>
      <x:c r="H12" s="8" t="n">
        <x:v>11643</x:v>
      </x:c>
      <x:c r="I12" t="str">
        <x:v>NF-FOR-0011</x:v>
      </x:c>
      <x:c r="J12" t="str">
        <x:v>Ativo</x:v>
      </x:c>
      <x:c r="K12" t="str">
        <x:v>Anual</x:v>
      </x:c>
    </x:row>
    <x:row r="13" ht="21" customHeight="1">
      <x:c r="A13" t="str">
        <x:v>CTR-0012</x:v>
      </x:c>
      <x:c r="B13" t="str">
        <x:v>Solidez Infra</x:v>
      </x:c>
      <x:c r="C13" t="str">
        <x:v>Suporte</x:v>
      </x:c>
      <x:c r="D13" t="str">
        <x:v>Marketing</x:v>
      </x:c>
      <x:c r="E13" s="10" t="n">
        <x:v>46372</x:v>
      </x:c>
      <x:c r="F13" s="10" t="n">
        <x:v>47467</x:v>
      </x:c>
      <x:c r="G13" s="10" t="n">
        <x:v>46010</x:v>
      </x:c>
      <x:c r="H13" s="8" t="n">
        <x:v>20873</x:v>
      </x:c>
      <x:c r="I13" t="str">
        <x:v>NF-FOR-0012</x:v>
      </x:c>
      <x:c r="J13" t="str">
        <x:v>Ativo</x:v>
      </x:c>
      <x:c r="K13" t="str">
        <x:v>Anual</x:v>
      </x:c>
    </x:row>
    <x:row r="14" ht="21" customHeight="1">
      <x:c r="A14" t="str">
        <x:v>CTR-0013</x:v>
      </x:c>
      <x:c r="B14" t="str">
        <x:v>Alfa Tecnologia</x:v>
      </x:c>
      <x:c r="C14" t="str">
        <x:v>Cloud</x:v>
      </x:c>
      <x:c r="D14" t="str">
        <x:v>Operações</x:v>
      </x:c>
      <x:c r="E14" s="10" t="n">
        <x:v>44943</x:v>
      </x:c>
      <x:c r="F14" s="10" t="n">
        <x:v>45308</x:v>
      </x:c>
      <x:c r="G14" s="10" t="n">
        <x:v>45677</x:v>
      </x:c>
      <x:c r="H14" s="8" t="n">
        <x:v>8323</x:v>
      </x:c>
      <x:c r="I14" t="str">
        <x:v>NF-FOR-0013</x:v>
      </x:c>
      <x:c r="J14" t="str">
        <x:v>Vencido</x:v>
      </x:c>
      <x:c r="K14" t="str">
        <x:v>Mensal</x:v>
      </x:c>
    </x:row>
    <x:row r="15" ht="21" customHeight="1">
      <x:c r="A15" t="str">
        <x:v>CTR-0014</x:v>
      </x:c>
      <x:c r="B15" t="str">
        <x:v>Delta Cloud</x:v>
      </x:c>
      <x:c r="C15" t="str">
        <x:v>Infraestrutura</x:v>
      </x:c>
      <x:c r="D15" t="str">
        <x:v>Comercial</x:v>
      </x:c>
      <x:c r="E15" s="10" t="n">
        <x:v>45340</x:v>
      </x:c>
      <x:c r="F15" s="10" t="n">
        <x:v>46070</x:v>
      </x:c>
      <x:c r="G15" s="10" t="n">
        <x:v>45709</x:v>
      </x:c>
      <x:c r="H15" s="8" t="n">
        <x:v>4630</x:v>
      </x:c>
      <x:c r="I15" t="str">
        <x:v>NF-FOR-0014</x:v>
      </x:c>
      <x:c r="J15" t="str">
        <x:v>Vencido</x:v>
      </x:c>
      <x:c r="K15" t="str">
        <x:v>Anual</x:v>
      </x:c>
    </x:row>
    <x:row r="16" ht="21" customHeight="1">
      <x:c r="A16" t="str">
        <x:v>CTR-0015</x:v>
      </x:c>
      <x:c r="B16" t="str">
        <x:v>Nexa Serviços</x:v>
      </x:c>
      <x:c r="C16" t="str">
        <x:v>Facilities</x:v>
      </x:c>
      <x:c r="D16" t="str">
        <x:v>Logística</x:v>
      </x:c>
      <x:c r="E16" s="10" t="n">
        <x:v>45735</x:v>
      </x:c>
      <x:c r="F16" s="10" t="n">
        <x:v>46830</x:v>
      </x:c>
      <x:c r="G16" s="10" t="n">
        <x:v>45724</x:v>
      </x:c>
      <x:c r="H16" s="8" t="n">
        <x:v>7294</x:v>
      </x:c>
      <x:c r="I16" t="str">
        <x:v>NF-FOR-0015</x:v>
      </x:c>
      <x:c r="J16" t="str">
        <x:v>Ativo</x:v>
      </x:c>
      <x:c r="K16" t="str">
        <x:v>Anual</x:v>
      </x:c>
    </x:row>
    <x:row r="17" ht="21" customHeight="1">
      <x:c r="A17" t="str">
        <x:v>CTR-0016</x:v>
      </x:c>
      <x:c r="B17" t="str">
        <x:v>Omega Telecom</x:v>
      </x:c>
      <x:c r="C17" t="str">
        <x:v>Software</x:v>
      </x:c>
      <x:c r="D17" t="str">
        <x:v>Jurídico</x:v>
      </x:c>
      <x:c r="E17" s="10" t="n">
        <x:v>46132</x:v>
      </x:c>
      <x:c r="F17" s="10" t="n">
        <x:v>46497</x:v>
      </x:c>
      <x:c r="G17" s="10" t="n">
        <x:v>45756</x:v>
      </x:c>
      <x:c r="H17" s="8" t="n">
        <x:v>21386</x:v>
      </x:c>
      <x:c r="I17" t="str">
        <x:v>NF-FOR-0016</x:v>
      </x:c>
      <x:c r="J17" t="str">
        <x:v>Ativo</x:v>
      </x:c>
      <x:c r="K17" t="str">
        <x:v>Mensal</x:v>
      </x:c>
    </x:row>
    <x:row r="18" ht="21" customHeight="1">
      <x:c r="A18" t="str">
        <x:v>CTR-0017</x:v>
      </x:c>
      <x:c r="B18" t="str">
        <x:v>Vértice Suprimentos</x:v>
      </x:c>
      <x:c r="C18" t="str">
        <x:v>Suporte</x:v>
      </x:c>
      <x:c r="D18" t="str">
        <x:v>TI</x:v>
      </x:c>
      <x:c r="E18" s="10" t="n">
        <x:v>45067</x:v>
      </x:c>
      <x:c r="F18" s="10" t="n">
        <x:v>45797</x:v>
      </x:c>
      <x:c r="G18" s="10" t="n">
        <x:v>45787</x:v>
      </x:c>
      <x:c r="H18" s="8" t="n">
        <x:v>18746</x:v>
      </x:c>
      <x:c r="I18" t="str">
        <x:v>NF-FOR-0017</x:v>
      </x:c>
      <x:c r="J18" t="str">
        <x:v>Vencido</x:v>
      </x:c>
      <x:c r="K18" t="str">
        <x:v>Anual</x:v>
      </x:c>
    </x:row>
    <x:row r="19" ht="21" customHeight="1">
      <x:c r="A19" t="str">
        <x:v>CTR-0018</x:v>
      </x:c>
      <x:c r="B19" t="str">
        <x:v>Beta Facilities</x:v>
      </x:c>
      <x:c r="C19" t="str">
        <x:v>Cloud</x:v>
      </x:c>
      <x:c r="D19" t="str">
        <x:v>Financeiro</x:v>
      </x:c>
      <x:c r="E19" s="10" t="n">
        <x:v>45465</x:v>
      </x:c>
      <x:c r="F19" s="10" t="n">
        <x:v>46560</x:v>
      </x:c>
      <x:c r="G19" s="10" t="n">
        <x:v>45819</x:v>
      </x:c>
      <x:c r="H19" s="8" t="n">
        <x:v>15352</x:v>
      </x:c>
      <x:c r="I19" t="str">
        <x:v>NF-FOR-0018</x:v>
      </x:c>
      <x:c r="J19" t="str">
        <x:v>Ativo</x:v>
      </x:c>
      <x:c r="K19" t="str">
        <x:v>Anual</x:v>
      </x:c>
    </x:row>
    <x:row r="20" ht="21" customHeight="1">
      <x:c r="A20" t="str">
        <x:v>CTR-0019</x:v>
      </x:c>
      <x:c r="B20" t="str">
        <x:v>Sigma Consultoria</x:v>
      </x:c>
      <x:c r="C20" t="str">
        <x:v>Infraestrutura</x:v>
      </x:c>
      <x:c r="D20" t="str">
        <x:v>RH</x:v>
      </x:c>
      <x:c r="E20" s="10" t="n">
        <x:v>45861</x:v>
      </x:c>
      <x:c r="F20" s="10" t="n">
        <x:v>46226</x:v>
      </x:c>
      <x:c r="G20" s="10" t="n">
        <x:v>45850</x:v>
      </x:c>
      <x:c r="H20" s="8" t="n">
        <x:v>8960</x:v>
      </x:c>
      <x:c r="I20" t="str">
        <x:v>NF-FOR-0019</x:v>
      </x:c>
      <x:c r="J20" t="str">
        <x:v>Vencido</x:v>
      </x:c>
      <x:c r="K20" t="str">
        <x:v>Mensal</x:v>
      </x:c>
    </x:row>
    <x:row r="21" ht="21" customHeight="1">
      <x:c r="A21" t="str">
        <x:v>CTR-0020</x:v>
      </x:c>
      <x:c r="B21" t="str">
        <x:v>Orion Datacenter</x:v>
      </x:c>
      <x:c r="C21" t="str">
        <x:v>Facilities</x:v>
      </x:c>
      <x:c r="D21" t="str">
        <x:v>Marketing</x:v>
      </x:c>
      <x:c r="E21" s="10" t="n">
        <x:v>46258</x:v>
      </x:c>
      <x:c r="F21" s="10" t="n">
        <x:v>46988</x:v>
      </x:c>
      <x:c r="G21" s="10" t="n">
        <x:v>45882</x:v>
      </x:c>
      <x:c r="H21" s="8" t="n">
        <x:v>18878</x:v>
      </x:c>
      <x:c r="I21" t="str">
        <x:v>NF-FOR-0020</x:v>
      </x:c>
      <x:c r="J21" t="str">
        <x:v>Ativo</x:v>
      </x:c>
      <x:c r="K21" t="str">
        <x:v>Anual</x:v>
      </x:c>
    </x:row>
    <x:row r="22" ht="21" customHeight="1">
      <x:c r="A22" t="str">
        <x:v>CTR-0021</x:v>
      </x:c>
      <x:c r="B22" t="str">
        <x:v>Lumina Energia</x:v>
      </x:c>
      <x:c r="C22" t="str">
        <x:v>Software</x:v>
      </x:c>
      <x:c r="D22" t="str">
        <x:v>Operações</x:v>
      </x:c>
      <x:c r="E22" s="10" t="n">
        <x:v>45174</x:v>
      </x:c>
      <x:c r="F22" s="10" t="n">
        <x:v>46269</x:v>
      </x:c>
      <x:c r="G22" s="10" t="n">
        <x:v>45914</x:v>
      </x:c>
      <x:c r="H22" s="8" t="n">
        <x:v>4587</x:v>
      </x:c>
      <x:c r="I22" t="str">
        <x:v>NF-FOR-0021</x:v>
      </x:c>
      <x:c r="J22" t="str">
        <x:v>Vencido</x:v>
      </x:c>
      <x:c r="K22" t="str">
        <x:v>Anual</x:v>
      </x:c>
    </x:row>
    <x:row r="23" ht="21" customHeight="1">
      <x:c r="A23" t="str">
        <x:v>CTR-0022</x:v>
      </x:c>
      <x:c r="B23" t="str">
        <x:v>Atlas Software</x:v>
      </x:c>
      <x:c r="C23" t="str">
        <x:v>Suporte</x:v>
      </x:c>
      <x:c r="D23" t="str">
        <x:v>Comercial</x:v>
      </x:c>
      <x:c r="E23" s="10" t="n">
        <x:v>45571</x:v>
      </x:c>
      <x:c r="F23" s="10" t="n">
        <x:v>45936</x:v>
      </x:c>
      <x:c r="G23" s="10" t="n">
        <x:v>45945</x:v>
      </x:c>
      <x:c r="H23" s="8" t="n">
        <x:v>13468</x:v>
      </x:c>
      <x:c r="I23" t="str">
        <x:v>NF-FOR-0022</x:v>
      </x:c>
      <x:c r="J23" t="str">
        <x:v>Vencido</x:v>
      </x:c>
      <x:c r="K23" t="str">
        <x:v>Mensal</x:v>
      </x:c>
    </x:row>
    <x:row r="24" ht="21" customHeight="1">
      <x:c r="A24" t="str">
        <x:v>CTR-0023</x:v>
      </x:c>
      <x:c r="B24" t="str">
        <x:v>Ponte Digital</x:v>
      </x:c>
      <x:c r="C24" t="str">
        <x:v>Cloud</x:v>
      </x:c>
      <x:c r="D24" t="str">
        <x:v>Logística</x:v>
      </x:c>
      <x:c r="E24" s="10" t="n">
        <x:v>45968</x:v>
      </x:c>
      <x:c r="F24" s="10" t="n">
        <x:v>46698</x:v>
      </x:c>
      <x:c r="G24" s="10" t="n">
        <x:v>45977</x:v>
      </x:c>
      <x:c r="H24" s="8" t="n">
        <x:v>17288</x:v>
      </x:c>
      <x:c r="I24" t="str">
        <x:v>NF-FOR-0023</x:v>
      </x:c>
      <x:c r="J24" t="str">
        <x:v>Ativo</x:v>
      </x:c>
      <x:c r="K24" t="str">
        <x:v>Anual</x:v>
      </x:c>
    </x:row>
    <x:row r="25" ht="21" customHeight="1">
      <x:c r="A25" t="str">
        <x:v>CTR-0024</x:v>
      </x:c>
      <x:c r="B25" t="str">
        <x:v>Solidez Infra</x:v>
      </x:c>
      <x:c r="C25" t="str">
        <x:v>Infraestrutura</x:v>
      </x:c>
      <x:c r="D25" t="str">
        <x:v>Jurídico</x:v>
      </x:c>
      <x:c r="E25" s="10" t="n">
        <x:v>46364</x:v>
      </x:c>
      <x:c r="F25" s="10" t="n">
        <x:v>47459</x:v>
      </x:c>
      <x:c r="G25" s="10" t="n">
        <x:v>46008</x:v>
      </x:c>
      <x:c r="H25" s="8" t="n">
        <x:v>10047</x:v>
      </x:c>
      <x:c r="I25" t="str">
        <x:v>NF-FOR-0024</x:v>
      </x:c>
      <x:c r="J25" t="str">
        <x:v>Ativo</x:v>
      </x:c>
      <x:c r="K25" t="str">
        <x:v>Anual</x:v>
      </x:c>
    </x:row>
    <x:row r="26" ht="21" customHeight="1">
      <x:c r="A26" t="str">
        <x:v>CTR-0025</x:v>
      </x:c>
      <x:c r="B26" t="str">
        <x:v>Alfa Tecnologia</x:v>
      </x:c>
      <x:c r="C26" t="str">
        <x:v>Facilities</x:v>
      </x:c>
      <x:c r="D26" t="str">
        <x:v>TI</x:v>
      </x:c>
      <x:c r="E26" s="10" t="n">
        <x:v>44935</x:v>
      </x:c>
      <x:c r="F26" s="10" t="n">
        <x:v>45300</x:v>
      </x:c>
      <x:c r="G26" s="10" t="n">
        <x:v>45675</x:v>
      </x:c>
      <x:c r="H26" s="8" t="n">
        <x:v>13259</x:v>
      </x:c>
      <x:c r="I26" t="str">
        <x:v>NF-FOR-0025</x:v>
      </x:c>
      <x:c r="J26" t="str">
        <x:v>Vencido</x:v>
      </x:c>
      <x:c r="K26" t="str">
        <x:v>Mensal</x:v>
      </x:c>
    </x:row>
    <x:row r="27" ht="21" customHeight="1">
      <x:c r="A27" t="str">
        <x:v>CTR-0026</x:v>
      </x:c>
      <x:c r="B27" t="str">
        <x:v>Delta Cloud</x:v>
      </x:c>
      <x:c r="C27" t="str">
        <x:v>Software</x:v>
      </x:c>
      <x:c r="D27" t="str">
        <x:v>Financeiro</x:v>
      </x:c>
      <x:c r="E27" s="10" t="n">
        <x:v>45332</x:v>
      </x:c>
      <x:c r="F27" s="10" t="n">
        <x:v>46062</x:v>
      </x:c>
      <x:c r="G27" s="10" t="n">
        <x:v>45707</x:v>
      </x:c>
      <x:c r="H27" s="8" t="n">
        <x:v>12025</x:v>
      </x:c>
      <x:c r="I27" t="str">
        <x:v>NF-FOR-0008</x:v>
      </x:c>
      <x:c r="J27" t="str">
        <x:v>Vencido</x:v>
      </x:c>
      <x:c r="K27" t="str">
        <x:v>Anual</x:v>
      </x:c>
    </x:row>
    <x:row r="28" ht="21" customHeight="1">
      <x:c r="A28" t="str">
        <x:v>CTR-0027</x:v>
      </x:c>
      <x:c r="B28" t="str">
        <x:v>Nexa Serviços</x:v>
      </x:c>
      <x:c r="C28" t="str">
        <x:v>Suporte</x:v>
      </x:c>
      <x:c r="D28" t="str">
        <x:v>RH</x:v>
      </x:c>
      <x:c r="E28" s="10" t="n">
        <x:v>45727</x:v>
      </x:c>
      <x:c r="F28" s="10" t="n">
        <x:v>46822</x:v>
      </x:c>
      <x:c r="G28" s="10" t="n">
        <x:v>45736</x:v>
      </x:c>
      <x:c r="H28" s="8" t="n">
        <x:v>7861</x:v>
      </x:c>
      <x:c r="I28" t="str">
        <x:v>NF-FOR-0027</x:v>
      </x:c>
      <x:c r="J28" t="str">
        <x:v>Ativo</x:v>
      </x:c>
      <x:c r="K28" t="str">
        <x:v>Anual</x:v>
      </x:c>
    </x:row>
    <x:row r="29" ht="21" customHeight="1">
      <x:c r="A29" t="str">
        <x:v>CTR-0028</x:v>
      </x:c>
      <x:c r="B29" t="str">
        <x:v>Omega Telecom</x:v>
      </x:c>
      <x:c r="C29" t="str">
        <x:v>Cloud</x:v>
      </x:c>
      <x:c r="D29" t="str">
        <x:v>Marketing</x:v>
      </x:c>
      <x:c r="E29" s="10" t="n">
        <x:v>46124</x:v>
      </x:c>
      <x:c r="F29" s="10" t="n">
        <x:v>46489</x:v>
      </x:c>
      <x:c r="G29" s="10" t="n">
        <x:v>45768</x:v>
      </x:c>
      <x:c r="H29" s="8" t="n">
        <x:v>22700</x:v>
      </x:c>
      <x:c r="I29" t="str">
        <x:v>NF-FOR-0028</x:v>
      </x:c>
      <x:c r="J29" t="str">
        <x:v>Ativo</x:v>
      </x:c>
      <x:c r="K29" t="str">
        <x:v>Mensal</x:v>
      </x:c>
    </x:row>
    <x:row r="30" ht="21" customHeight="1">
      <x:c r="A30" t="str">
        <x:v>CTR-0029</x:v>
      </x:c>
      <x:c r="B30" t="str">
        <x:v>Vértice Suprimentos</x:v>
      </x:c>
      <x:c r="C30" t="str">
        <x:v>Infraestrutura</x:v>
      </x:c>
      <x:c r="D30" t="str">
        <x:v>Operações</x:v>
      </x:c>
      <x:c r="E30" s="10" t="n">
        <x:v>45059</x:v>
      </x:c>
      <x:c r="F30" s="10" t="n">
        <x:v>45789</x:v>
      </x:c>
      <x:c r="G30" s="10" t="n">
        <x:v>45785</x:v>
      </x:c>
      <x:c r="H30" s="8" t="n">
        <x:v>5314</x:v>
      </x:c>
      <x:c r="I30" t="str">
        <x:v>NF-FOR-0029</x:v>
      </x:c>
      <x:c r="J30" t="str">
        <x:v>Vencido</x:v>
      </x:c>
      <x:c r="K30" t="str">
        <x:v>Anual</x:v>
      </x:c>
    </x:row>
    <x:row r="31" ht="21" customHeight="1">
      <x:c r="A31" t="str">
        <x:v>CTR-0030</x:v>
      </x:c>
      <x:c r="B31" t="str">
        <x:v>Beta Facilities</x:v>
      </x:c>
      <x:c r="C31" t="str">
        <x:v>Facilities</x:v>
      </x:c>
      <x:c r="D31" t="str">
        <x:v>Comercial</x:v>
      </x:c>
      <x:c r="E31" s="10" t="n">
        <x:v>45457</x:v>
      </x:c>
      <x:c r="F31" s="10" t="n">
        <x:v>46552</x:v>
      </x:c>
      <x:c r="G31" s="10" t="n">
        <x:v>45817</x:v>
      </x:c>
      <x:c r="H31" s="8" t="n">
        <x:v>23747</x:v>
      </x:c>
      <x:c r="I31" t="str">
        <x:v>NF-FOR-0030</x:v>
      </x:c>
      <x:c r="J31" t="str">
        <x:v>Ativo</x:v>
      </x:c>
      <x:c r="K31" t="str">
        <x:v>Anual</x:v>
      </x:c>
    </x:row>
    <x:row r="32" ht="21" customHeight="1">
      <x:c r="A32" t="str">
        <x:v>CTR-0031</x:v>
      </x:c>
      <x:c r="B32" t="str">
        <x:v>Sigma Consultoria</x:v>
      </x:c>
      <x:c r="C32" t="str">
        <x:v>Software</x:v>
      </x:c>
      <x:c r="D32" t="str">
        <x:v>Logística</x:v>
      </x:c>
      <x:c r="E32" s="10" t="n">
        <x:v>45853</x:v>
      </x:c>
      <x:c r="F32" s="10" t="n">
        <x:v>46218</x:v>
      </x:c>
      <x:c r="G32" s="10" t="n">
        <x:v>45848</x:v>
      </x:c>
      <x:c r="H32" s="8" t="n">
        <x:v>14102</x:v>
      </x:c>
      <x:c r="I32" t="str">
        <x:v>NF-FOR-0031</x:v>
      </x:c>
      <x:c r="J32" t="str">
        <x:v>Vencido</x:v>
      </x:c>
      <x:c r="K32" t="str">
        <x:v>Mensal</x:v>
      </x:c>
    </x:row>
    <x:row r="33" ht="21" customHeight="1">
      <x:c r="A33" t="str">
        <x:v>CTR-0032</x:v>
      </x:c>
      <x:c r="B33" t="str">
        <x:v>Orion Datacenter</x:v>
      </x:c>
      <x:c r="C33" t="str">
        <x:v>Suporte</x:v>
      </x:c>
      <x:c r="D33" t="str">
        <x:v>Jurídico</x:v>
      </x:c>
      <x:c r="E33" s="10" t="n">
        <x:v>46250</x:v>
      </x:c>
      <x:c r="F33" s="10" t="n">
        <x:v>46980</x:v>
      </x:c>
      <x:c r="G33" s="10" t="n">
        <x:v>45880</x:v>
      </x:c>
      <x:c r="H33" s="8" t="n">
        <x:v>3976</x:v>
      </x:c>
      <x:c r="I33" t="str">
        <x:v>NF-FOR-0032</x:v>
      </x:c>
      <x:c r="J33" t="str">
        <x:v>Ativo</x:v>
      </x:c>
      <x:c r="K33" t="str">
        <x:v>Anual</x:v>
      </x:c>
    </x:row>
    <x:row r="34" ht="21" customHeight="1">
      <x:c r="A34" t="str">
        <x:v>CTR-0033</x:v>
      </x:c>
      <x:c r="B34" t="str">
        <x:v>Lumina Energia</x:v>
      </x:c>
      <x:c r="C34" t="str">
        <x:v>Cloud</x:v>
      </x:c>
      <x:c r="D34" t="str">
        <x:v>TI</x:v>
      </x:c>
      <x:c r="E34" s="10" t="n">
        <x:v>45186</x:v>
      </x:c>
      <x:c r="F34" s="10" t="n">
        <x:v>46281</x:v>
      </x:c>
      <x:c r="G34" s="10" t="n">
        <x:v>45912</x:v>
      </x:c>
      <x:c r="H34" s="8" t="n">
        <x:v>18424</x:v>
      </x:c>
      <x:c r="I34" t="str">
        <x:v>NF-FOR-0033</x:v>
      </x:c>
      <x:c r="J34" t="str">
        <x:v>Vencido</x:v>
      </x:c>
      <x:c r="K34" t="str">
        <x:v>Anual</x:v>
      </x:c>
    </x:row>
    <x:row r="35" ht="21" customHeight="1">
      <x:c r="A35" t="str">
        <x:v>CTR-0034</x:v>
      </x:c>
      <x:c r="B35" t="str">
        <x:v>Atlas Software</x:v>
      </x:c>
      <x:c r="C35" t="str">
        <x:v>Infraestrutura</x:v>
      </x:c>
      <x:c r="D35" t="str">
        <x:v>Financeiro</x:v>
      </x:c>
      <x:c r="E35" s="10" t="n">
        <x:v>45583</x:v>
      </x:c>
      <x:c r="F35" s="10" t="n">
        <x:v>45948</x:v>
      </x:c>
      <x:c r="G35" s="10" t="n">
        <x:v>45943</x:v>
      </x:c>
      <x:c r="H35" s="8" t="n">
        <x:v>12024</x:v>
      </x:c>
      <x:c r="I35" t="str">
        <x:v>NF-FOR-0034</x:v>
      </x:c>
      <x:c r="J35" t="str">
        <x:v>Vencido</x:v>
      </x:c>
      <x:c r="K35" t="str">
        <x:v>Mensal</x:v>
      </x:c>
    </x:row>
    <x:row r="36" ht="21" customHeight="1">
      <x:c r="A36" t="str">
        <x:v>CTR-0035</x:v>
      </x:c>
      <x:c r="B36" t="str">
        <x:v>Ponte Digital</x:v>
      </x:c>
      <x:c r="C36" t="str">
        <x:v>Facilities</x:v>
      </x:c>
      <x:c r="D36" t="str">
        <x:v>RH</x:v>
      </x:c>
      <x:c r="E36" s="10" t="n">
        <x:v>45980</x:v>
      </x:c>
      <x:c r="F36" s="10" t="n">
        <x:v>46710</x:v>
      </x:c>
      <x:c r="G36" s="10" t="n">
        <x:v>45975</x:v>
      </x:c>
      <x:c r="H36" s="8" t="n">
        <x:v>8771</x:v>
      </x:c>
      <x:c r="I36" t="str">
        <x:v>NF-FOR-0035</x:v>
      </x:c>
      <x:c r="J36" t="str">
        <x:v>Ativo</x:v>
      </x:c>
      <x:c r="K36" t="str">
        <x:v>Anual</x:v>
      </x:c>
    </x:row>
    <x:row r="37" ht="21" customHeight="1">
      <x:c r="A37" t="str">
        <x:v>CTR-0036</x:v>
      </x:c>
      <x:c r="B37" t="str">
        <x:v>Solidez Infra</x:v>
      </x:c>
      <x:c r="C37" t="str">
        <x:v>Software</x:v>
      </x:c>
      <x:c r="D37" t="str">
        <x:v>Marketing</x:v>
      </x:c>
      <x:c r="E37" s="10" t="n">
        <x:v>46376</x:v>
      </x:c>
      <x:c r="F37" s="10" t="n">
        <x:v>47471</x:v>
      </x:c>
      <x:c r="G37" s="10" t="n">
        <x:v>46006</x:v>
      </x:c>
      <x:c r="H37" s="8" t="n">
        <x:v>8289</x:v>
      </x:c>
      <x:c r="I37" t="str">
        <x:v>NF-FOR-0036</x:v>
      </x:c>
      <x:c r="J37" t="str">
        <x:v>Ativo</x:v>
      </x:c>
      <x:c r="K37" t="str">
        <x:v>Anual</x:v>
      </x:c>
    </x:row>
    <x:row r="38" ht="21" customHeight="1">
      <x:c r="A38" t="str">
        <x:v>CTR-0037</x:v>
      </x:c>
      <x:c r="B38" t="str">
        <x:v>Alfa Tecnologia</x:v>
      </x:c>
      <x:c r="C38" t="str">
        <x:v>Suporte</x:v>
      </x:c>
      <x:c r="D38" t="str">
        <x:v>Operações</x:v>
      </x:c>
      <x:c r="E38" s="10" t="n">
        <x:v>44947</x:v>
      </x:c>
      <x:c r="F38" s="10" t="n">
        <x:v>45312</x:v>
      </x:c>
      <x:c r="G38" s="10" t="n">
        <x:v>45673</x:v>
      </x:c>
      <x:c r="H38" s="8" t="n">
        <x:v>14479</x:v>
      </x:c>
      <x:c r="I38" t="str">
        <x:v>NF-FOR-0037</x:v>
      </x:c>
      <x:c r="J38" t="str">
        <x:v>Vencido</x:v>
      </x:c>
      <x:c r="K38" t="str">
        <x:v>Mensal</x:v>
      </x:c>
    </x:row>
    <x:row r="39" ht="21" customHeight="1">
      <x:c r="A39" t="str">
        <x:v>CTR-0038</x:v>
      </x:c>
      <x:c r="B39" t="str">
        <x:v>Delta Cloud</x:v>
      </x:c>
      <x:c r="C39" t="str">
        <x:v>Cloud</x:v>
      </x:c>
      <x:c r="D39" t="str">
        <x:v>Comercial</x:v>
      </x:c>
      <x:c r="E39" s="10" t="n">
        <x:v>45344</x:v>
      </x:c>
      <x:c r="F39" s="10" t="n">
        <x:v>46074</x:v>
      </x:c>
      <x:c r="G39" s="10" t="n">
        <x:v>45705</x:v>
      </x:c>
      <x:c r="H39" s="8" t="n">
        <x:v>23705</x:v>
      </x:c>
      <x:c r="I39" t="str">
        <x:v>NF-FOR-0038</x:v>
      </x:c>
      <x:c r="J39" t="str">
        <x:v>Vencido</x:v>
      </x:c>
      <x:c r="K39" t="str">
        <x:v>Anual</x:v>
      </x:c>
    </x:row>
    <x:row r="40" ht="21" customHeight="1">
      <x:c r="A40" t="str">
        <x:v>CTR-0039</x:v>
      </x:c>
      <x:c r="B40" t="str">
        <x:v>Nexa Serviços</x:v>
      </x:c>
      <x:c r="C40" t="str">
        <x:v>Infraestrutura</x:v>
      </x:c>
      <x:c r="D40" t="str">
        <x:v>Logística</x:v>
      </x:c>
      <x:c r="E40" s="10" t="n">
        <x:v>45739</x:v>
      </x:c>
      <x:c r="F40" s="10" t="n">
        <x:v>46834</x:v>
      </x:c>
      <x:c r="G40" s="10" t="n">
        <x:v>45734</x:v>
      </x:c>
      <x:c r="H40" s="8" t="n">
        <x:v>14534</x:v>
      </x:c>
      <x:c r="I40" t="str">
        <x:v>NF-FOR-0039</x:v>
      </x:c>
      <x:c r="J40" t="str">
        <x:v>Ativo</x:v>
      </x:c>
      <x:c r="K40" t="str">
        <x:v>Anual</x:v>
      </x:c>
    </x:row>
    <x:row r="41" ht="21" customHeight="1">
      <x:c r="A41" t="str">
        <x:v>CTR-0040</x:v>
      </x:c>
      <x:c r="B41" t="str">
        <x:v>Omega Telecom</x:v>
      </x:c>
      <x:c r="C41" t="str">
        <x:v>Facilities</x:v>
      </x:c>
      <x:c r="D41" t="str">
        <x:v>Jurídico</x:v>
      </x:c>
      <x:c r="E41" s="10" t="n">
        <x:v>46136</x:v>
      </x:c>
      <x:c r="F41" s="10" t="n">
        <x:v>46501</x:v>
      </x:c>
      <x:c r="G41" s="10" t="n">
        <x:v>45766</x:v>
      </x:c>
      <x:c r="H41" s="8" t="n">
        <x:v>98750</x:v>
      </x:c>
      <x:c r="I41" t="str">
        <x:v>NF-FOR-0040</x:v>
      </x:c>
      <x:c r="J41" t="str">
        <x:v>Ativo</x:v>
      </x:c>
      <x:c r="K41" t="str">
        <x:v>Mensal</x:v>
      </x:c>
    </x:row>
    <x:row r="42" ht="21" customHeight="1">
      <x:c r="A42" t="str">
        <x:v>CTR-0041</x:v>
      </x:c>
      <x:c r="B42" t="str">
        <x:v>Vértice Suprimentos</x:v>
      </x:c>
      <x:c r="C42" t="str">
        <x:v>Software</x:v>
      </x:c>
      <x:c r="D42" t="str">
        <x:v>TI</x:v>
      </x:c>
      <x:c r="E42" s="10" t="n">
        <x:v>45051</x:v>
      </x:c>
      <x:c r="F42" s="10" t="n">
        <x:v>45781</x:v>
      </x:c>
      <x:c r="G42" s="10" t="n">
        <x:v>45797</x:v>
      </x:c>
      <x:c r="H42" s="8" t="n">
        <x:v>14846</x:v>
      </x:c>
      <x:c r="I42" t="str">
        <x:v>NF-FOR-0041</x:v>
      </x:c>
      <x:c r="J42" t="str">
        <x:v>Vencido</x:v>
      </x:c>
      <x:c r="K42" t="str">
        <x:v>Anual</x:v>
      </x:c>
    </x:row>
    <x:row r="43" ht="21" customHeight="1">
      <x:c r="A43" t="str">
        <x:v>CTR-0042</x:v>
      </x:c>
      <x:c r="B43" t="str">
        <x:v>Beta Facilities</x:v>
      </x:c>
      <x:c r="C43" t="str">
        <x:v>Suporte</x:v>
      </x:c>
      <x:c r="D43" t="str">
        <x:v>Financeiro</x:v>
      </x:c>
      <x:c r="E43" s="10" t="n">
        <x:v>45449</x:v>
      </x:c>
      <x:c r="F43" s="10" t="n">
        <x:v>46544</x:v>
      </x:c>
      <x:c r="G43" s="10" t="n">
        <x:v>45829</x:v>
      </x:c>
      <x:c r="H43" s="8" t="n">
        <x:v>5065</x:v>
      </x:c>
      <x:c r="I43" t="str">
        <x:v>NF-FOR-0042</x:v>
      </x:c>
      <x:c r="J43" t="str">
        <x:v>Ativo</x:v>
      </x:c>
      <x:c r="K43" t="str">
        <x:v>Anual</x:v>
      </x:c>
    </x:row>
    <x:row r="44" ht="21" customHeight="1">
      <x:c r="A44" t="str">
        <x:v>CTR-0043</x:v>
      </x:c>
      <x:c r="B44" t="str">
        <x:v>Sigma Consultoria</x:v>
      </x:c>
      <x:c r="C44" t="str">
        <x:v>Cloud</x:v>
      </x:c>
      <x:c r="D44" t="str">
        <x:v>RH</x:v>
      </x:c>
      <x:c r="E44" s="10" t="n">
        <x:v>45845</x:v>
      </x:c>
      <x:c r="F44" s="10" t="n">
        <x:v>46210</x:v>
      </x:c>
      <x:c r="G44" s="10" t="n">
        <x:v>45846</x:v>
      </x:c>
      <x:c r="H44" s="8" t="n">
        <x:v>15233</x:v>
      </x:c>
      <x:c r="I44" t="str">
        <x:v>NF-FOR-0043</x:v>
      </x:c>
      <x:c r="J44" t="str">
        <x:v>Vencido</x:v>
      </x:c>
      <x:c r="K44" t="str">
        <x:v>Mensal</x:v>
      </x:c>
    </x:row>
    <x:row r="45" ht="21" customHeight="1">
      <x:c r="A45" t="str">
        <x:v>CTR-0044</x:v>
      </x:c>
      <x:c r="B45" t="str">
        <x:v>Orion Datacenter</x:v>
      </x:c>
      <x:c r="C45" t="str">
        <x:v>Infraestrutura</x:v>
      </x:c>
      <x:c r="D45" t="str">
        <x:v>Marketing</x:v>
      </x:c>
      <x:c r="E45" s="10" t="n">
        <x:v>46242</x:v>
      </x:c>
      <x:c r="F45" s="10" t="n">
        <x:v>46972</x:v>
      </x:c>
      <x:c r="G45" s="10" t="n">
        <x:v>45878</x:v>
      </x:c>
      <x:c r="H45" s="8" t="n">
        <x:v>20009</x:v>
      </x:c>
      <x:c r="I45" t="str">
        <x:v>NF-FOR-0044</x:v>
      </x:c>
      <x:c r="J45" t="str">
        <x:v>Ativo</x:v>
      </x:c>
      <x:c r="K45" t="str">
        <x:v>Anual</x:v>
      </x:c>
    </x:row>
    <x:row r="46" ht="21" customHeight="1">
      <x:c r="A46" t="str">
        <x:v>CTR-0045</x:v>
      </x:c>
      <x:c r="B46" t="str">
        <x:v>Lumina Energia</x:v>
      </x:c>
      <x:c r="C46" t="str">
        <x:v>Facilities</x:v>
      </x:c>
      <x:c r="D46" t="str">
        <x:v>Operações</x:v>
      </x:c>
      <x:c r="E46" s="10" t="n">
        <x:v>45178</x:v>
      </x:c>
      <x:c r="F46" s="10" t="n">
        <x:v>46273</x:v>
      </x:c>
      <x:c r="G46" s="10" t="n">
        <x:v>45910</x:v>
      </x:c>
      <x:c r="H46" s="8" t="n">
        <x:v>23002</x:v>
      </x:c>
      <x:c r="I46" t="str">
        <x:v>NF-FOR-0045</x:v>
      </x:c>
      <x:c r="J46" t="str">
        <x:v>Vencido</x:v>
      </x:c>
      <x:c r="K46" t="str">
        <x:v>Anual</x:v>
      </x:c>
    </x:row>
    <x:row r="47" ht="21" customHeight="1">
      <x:c r="A47" t="str">
        <x:v>CTR-0046</x:v>
      </x:c>
      <x:c r="B47" t="str">
        <x:v>Atlas Software</x:v>
      </x:c>
      <x:c r="C47" t="str">
        <x:v>Software</x:v>
      </x:c>
      <x:c r="D47" t="str">
        <x:v>Comercial</x:v>
      </x:c>
      <x:c r="E47" s="10" t="n">
        <x:v>45575</x:v>
      </x:c>
      <x:c r="F47" s="10" t="n">
        <x:v>45940</x:v>
      </x:c>
      <x:c r="G47" s="10" t="n">
        <x:v>45941</x:v>
      </x:c>
      <x:c r="H47" s="8" t="n">
        <x:v>14129</x:v>
      </x:c>
      <x:c r="I47" t="str">
        <x:v>NF-FOR-0046</x:v>
      </x:c>
      <x:c r="J47" t="str">
        <x:v>Vencido</x:v>
      </x:c>
      <x:c r="K47" t="str">
        <x:v>Mensal</x:v>
      </x:c>
    </x:row>
    <x:row r="48" ht="21" customHeight="1">
      <x:c r="A48" t="str">
        <x:v>CTR-0047</x:v>
      </x:c>
      <x:c r="B48" t="str">
        <x:v>Ponte Digital</x:v>
      </x:c>
      <x:c r="C48" t="str">
        <x:v>Suporte</x:v>
      </x:c>
      <x:c r="D48" t="str">
        <x:v>Logística</x:v>
      </x:c>
      <x:c r="E48" s="10" t="n">
        <x:v>45972</x:v>
      </x:c>
      <x:c r="F48" s="10" t="n">
        <x:v>46702</x:v>
      </x:c>
      <x:c r="G48" s="10" t="n">
        <x:v>45973</x:v>
      </x:c>
      <x:c r="H48" s="8" t="n">
        <x:v>13134</x:v>
      </x:c>
      <x:c r="I48" t="str">
        <x:v>NF-FOR-0047</x:v>
      </x:c>
      <x:c r="J48" t="str">
        <x:v>Ativo</x:v>
      </x:c>
      <x:c r="K48" t="str">
        <x:v>Anual</x:v>
      </x:c>
    </x:row>
    <x:row r="49" ht="21" customHeight="1">
      <x:c r="A49" t="str">
        <x:v>CTR-0048</x:v>
      </x:c>
      <x:c r="B49" t="str">
        <x:v>Solidez Infra</x:v>
      </x:c>
      <x:c r="C49" t="str">
        <x:v>Cloud</x:v>
      </x:c>
      <x:c r="D49" t="str">
        <x:v>Jurídico</x:v>
      </x:c>
      <x:c r="E49" s="10" t="n">
        <x:v>46368</x:v>
      </x:c>
      <x:c r="F49" s="10" t="n">
        <x:v>47463</x:v>
      </x:c>
      <x:c r="G49" s="10" t="n">
        <x:v>46004</x:v>
      </x:c>
      <x:c r="H49" s="8" t="n">
        <x:v>8239</x:v>
      </x:c>
      <x:c r="I49" t="str">
        <x:v>NF-FOR-0048</x:v>
      </x:c>
      <x:c r="J49" t="str">
        <x:v>Ativo</x:v>
      </x:c>
      <x:c r="K49" t="str">
        <x:v>Anual</x:v>
      </x:c>
    </x:row>
  </x:sheetData>
  <x:pageMargins left="0.7" right="0.7" top="0.75" bottom="0.75" header="0.3" footer="0.3"/>
  <x:tableParts count="1">
    <x:tablePart xmlns:r="http://schemas.openxmlformats.org/officeDocument/2006/relationships" r:id="Re53341218c074ba8"/>
  </x:tableParts>
</x:worksheet>
</file>

<file path=xl/worksheets/sheet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 ht="24" customHeight="1">
      <x:c r="A1" s="14" t="str">
        <x:v>LABORATÓRIO DE COPILOT | DASHBOARD GERENCIAL</x:v>
      </x:c>
      <x:c r="B1" s="14"/>
      <x:c r="C1" s="14"/>
      <x:c r="D1" s="14"/>
      <x:c r="E1" s="14"/>
      <x:c r="F1" s="14"/>
      <x:c r="G1" s="14"/>
      <x:c r="H1" s="14"/>
      <x:c r="I1" s="14"/>
      <x:c r="J1" s="14"/>
      <x:c r="K1" s="14"/>
      <x:c r="L1" s="14"/>
    </x:row>
    <x:row r="2" ht="24" customHeight="1">
      <x:c r="A2" s="14"/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</x:row>
    <x:row r="4" ht="31" customHeight="1">
      <x:c r="A4" s="17" t="str">
        <x:v>ÁREA DO ALUNO — construa seus indicadores e gráficos nesta aba utilizando o Copilot no Excel.</x:v>
      </x:c>
      <x:c r="B4" s="17"/>
      <x:c r="C4" s="17"/>
      <x:c r="D4" s="17"/>
      <x:c r="E4" s="17"/>
      <x:c r="F4" s="17"/>
      <x:c r="G4" s="17"/>
      <x:c r="H4" s="17"/>
      <x:c r="I4" s="17"/>
      <x:c r="J4" s="17"/>
      <x:c r="K4" s="17"/>
      <x:c r="L4" s="17"/>
    </x:row>
    <x:row r="6" ht="27" customHeight="1">
      <x:c r="A6" s="21" t="str">
        <x:v>RECEITAS 2025</x:v>
      </x:c>
      <x:c r="B6" s="21"/>
      <x:c r="C6" s="21"/>
      <x:c r="D6" s="21" t="str">
        <x:v>DESPESAS 2025</x:v>
      </x:c>
      <x:c r="E6" s="21"/>
      <x:c r="F6" s="21"/>
      <x:c r="G6" s="21" t="str">
        <x:v>SALDO DO PERÍODO</x:v>
      </x:c>
      <x:c r="H6" s="21"/>
      <x:c r="I6" s="21"/>
      <x:c r="J6" s="21" t="str">
        <x:v>DESVIO ORÇAMENTÁRIO</x:v>
      </x:c>
      <x:c r="K6" s="21"/>
      <x:c r="L6" s="21"/>
    </x:row>
    <x:row r="7" ht="23" customHeight="1">
      <x:c r="A7" s="24"/>
      <x:c r="B7" s="24"/>
      <x:c r="C7" s="24"/>
      <x:c r="D7" s="24"/>
      <x:c r="E7" s="24"/>
      <x:c r="F7" s="24"/>
      <x:c r="G7" s="24"/>
      <x:c r="H7" s="24"/>
      <x:c r="I7" s="24"/>
      <x:c r="J7" s="24"/>
      <x:c r="K7" s="24"/>
      <x:c r="L7" s="24"/>
    </x:row>
    <x:row r="8" ht="23" customHeight="1">
      <x:c r="A8" s="24"/>
      <x:c r="B8" s="24"/>
      <x:c r="C8" s="24"/>
      <x:c r="D8" s="24"/>
      <x:c r="E8" s="24"/>
      <x:c r="F8" s="24"/>
      <x:c r="G8" s="24"/>
      <x:c r="H8" s="24"/>
      <x:c r="I8" s="24"/>
      <x:c r="J8" s="24"/>
      <x:c r="K8" s="24"/>
      <x:c r="L8" s="24"/>
    </x:row>
    <x:row r="9" ht="23" customHeight="1">
      <x:c r="A9" s="24"/>
      <x:c r="B9" s="24"/>
      <x:c r="C9" s="24"/>
      <x:c r="D9" s="24"/>
      <x:c r="E9" s="24"/>
      <x:c r="F9" s="24"/>
      <x:c r="G9" s="24"/>
      <x:c r="H9" s="24"/>
      <x:c r="I9" s="24"/>
      <x:c r="J9" s="24"/>
      <x:c r="K9" s="24"/>
      <x:c r="L9" s="24"/>
    </x:row>
    <x:row r="12" ht="26" customHeight="1">
      <x:c r="A12" s="27" t="str">
        <x:v>ATIVIDADES: peça ao Copilot para criar e posicionar gráficos editáveis abaixo das métricas.</x:v>
      </x:c>
      <x:c r="B12" s="27"/>
      <x:c r="C12" s="27"/>
      <x:c r="D12" s="27"/>
      <x:c r="E12" s="27"/>
      <x:c r="F12" s="27"/>
      <x:c r="G12" s="27"/>
      <x:c r="H12" s="27"/>
      <x:c r="I12" s="27"/>
      <x:c r="J12" s="27"/>
      <x:c r="K12" s="27"/>
      <x:c r="L12" s="27"/>
    </x:row>
    <x:row r="15" ht="23" customHeight="1">
      <x:c r="A15" s="30" t="str">
        <x:v>01  Análise mensal de receitas, despesas e saldo</x:v>
      </x:c>
      <x:c r="B15" s="30"/>
      <x:c r="C15" s="30"/>
      <x:c r="D15" s="30"/>
      <x:c r="E15" s="30"/>
      <x:c r="F15" s="30"/>
      <x:c r="G15" s="30"/>
      <x:c r="H15" s="30"/>
      <x:c r="I15" s="30"/>
      <x:c r="J15" s="30"/>
      <x:c r="K15" s="30"/>
      <x:c r="L15" s="30"/>
    </x:row>
    <x:row r="19" ht="23" customHeight="1">
      <x:c r="A19" s="30" t="str">
        <x:v>02  Desvios por departamento e principais centros de custo</x:v>
      </x:c>
      <x:c r="B19" s="30"/>
      <x:c r="C19" s="30"/>
      <x:c r="D19" s="30"/>
      <x:c r="E19" s="30"/>
      <x:c r="F19" s="30"/>
      <x:c r="G19" s="30"/>
      <x:c r="H19" s="30"/>
      <x:c r="I19" s="30"/>
      <x:c r="J19" s="30"/>
      <x:c r="K19" s="30"/>
      <x:c r="L19" s="30"/>
    </x:row>
    <x:row r="23" ht="23" customHeight="1">
      <x:c r="A23" s="30" t="str">
        <x:v>03  Cenários e projeção do fluxo de caixa</x:v>
      </x:c>
      <x:c r="B23" s="30"/>
      <x:c r="C23" s="30"/>
      <x:c r="D23" s="30"/>
      <x:c r="E23" s="30"/>
      <x:c r="F23" s="30"/>
      <x:c r="G23" s="30"/>
      <x:c r="H23" s="30"/>
      <x:c r="I23" s="30"/>
      <x:c r="J23" s="30"/>
      <x:c r="K23" s="30"/>
      <x:c r="L23" s="30"/>
    </x:row>
    <x:row r="27" ht="23" customHeight="1">
      <x:c r="A27" s="30" t="str">
        <x:v>04  Ativos antigos e garantias vencidas</x:v>
      </x:c>
      <x:c r="B27" s="30"/>
      <x:c r="C27" s="30"/>
      <x:c r="D27" s="30"/>
      <x:c r="E27" s="30"/>
      <x:c r="F27" s="30"/>
      <x:c r="G27" s="30"/>
      <x:c r="H27" s="30"/>
      <x:c r="I27" s="30"/>
      <x:c r="J27" s="30"/>
      <x:c r="K27" s="30"/>
      <x:c r="L27" s="30"/>
    </x:row>
    <x:row r="31" ht="23" customHeight="1">
      <x:c r="A31" s="30" t="str">
        <x:v>05  Resumo executivo: decisões apoiadas em números</x:v>
      </x:c>
      <x:c r="B31" s="30"/>
      <x:c r="C31" s="30"/>
      <x:c r="D31" s="30"/>
      <x:c r="E31" s="30"/>
      <x:c r="F31" s="30"/>
      <x:c r="G31" s="30"/>
      <x:c r="H31" s="30"/>
      <x:c r="I31" s="30"/>
      <x:c r="J31" s="30"/>
      <x:c r="K31" s="30"/>
      <x:c r="L31" s="30"/>
    </x:row>
  </x:sheetData>
  <x:mergeCells>
    <x:mergeCell ref="A1:L2"/>
    <x:mergeCell ref="A4:L4"/>
    <x:mergeCell ref="A6:C6"/>
    <x:mergeCell ref="A7:C9"/>
    <x:mergeCell ref="D6:F6"/>
    <x:mergeCell ref="D7:F9"/>
    <x:mergeCell ref="G6:I6"/>
    <x:mergeCell ref="G7:I9"/>
    <x:mergeCell ref="J6:L6"/>
    <x:mergeCell ref="J7:L9"/>
    <x:mergeCell ref="A12:L12"/>
    <x:mergeCell ref="A15:L15"/>
    <x:mergeCell ref="A19:L19"/>
    <x:mergeCell ref="A23:L23"/>
    <x:mergeCell ref="A27:L27"/>
    <x:mergeCell ref="A31:L31"/>
  </x:mergeCells>
  <x:pageMargins left="0.7" right="0.7" top="0.75" bottom="0.75" header="0.3" footer="0.3"/>
</x:worksheet>
</file>